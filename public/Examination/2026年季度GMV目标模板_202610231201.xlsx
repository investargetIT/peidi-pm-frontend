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eidi\peidi-pm-frontend\public\Examination\"/>
    </mc:Choice>
  </mc:AlternateContent>
  <xr:revisionPtr revIDLastSave="0" documentId="13_ncr:1_{95DE8F90-BBEC-4A90-851F-3289FA619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各渠道拆解到岗位" sheetId="1" r:id="rId1"/>
    <sheet name="未放入GMV表中前台人员" sheetId="2" state="hidden" r:id="rId2"/>
  </sheets>
  <definedNames>
    <definedName name="_xlnm._FilterDatabase" localSheetId="0" hidden="1">各渠道拆解到岗位!$A$2:$J$67</definedName>
    <definedName name="_xlnm._FilterDatabase" localSheetId="1" hidden="1">未放入GMV表中前台人员!$A$1:$I$42</definedName>
    <definedName name="_xlnm._FilterDatabase">各渠道拆解到岗位!$A$2:$J$67</definedName>
    <definedName name="_xlnm.Print_Area" localSheetId="0">各渠道拆解到岗位!$A1:$H54</definedName>
  </definedNames>
  <calcPr calcId="191029"/>
</workbook>
</file>

<file path=xl/calcChain.xml><?xml version="1.0" encoding="utf-8"?>
<calcChain xmlns="http://schemas.openxmlformats.org/spreadsheetml/2006/main">
  <c r="H63" i="1" l="1"/>
  <c r="H62" i="1"/>
  <c r="H61" i="1"/>
  <c r="G61" i="1"/>
  <c r="F61" i="1"/>
  <c r="E61" i="1"/>
  <c r="H60" i="1"/>
  <c r="H59" i="1"/>
  <c r="H57" i="1"/>
  <c r="G57" i="1"/>
  <c r="F57" i="1"/>
  <c r="E57" i="1"/>
  <c r="H56" i="1"/>
  <c r="H55" i="1"/>
  <c r="H54" i="1"/>
  <c r="H52" i="1"/>
  <c r="G52" i="1"/>
  <c r="F52" i="1"/>
  <c r="E52" i="1"/>
  <c r="H51" i="1"/>
  <c r="H50" i="1"/>
  <c r="H49" i="1"/>
  <c r="H48" i="1"/>
  <c r="H47" i="1"/>
  <c r="H46" i="1"/>
  <c r="H44" i="1"/>
  <c r="G44" i="1"/>
  <c r="F44" i="1"/>
  <c r="E44" i="1"/>
  <c r="H43" i="1"/>
  <c r="H42" i="1"/>
  <c r="H41" i="1"/>
  <c r="H39" i="1"/>
  <c r="G39" i="1"/>
  <c r="F39" i="1"/>
  <c r="E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3" i="1"/>
  <c r="G23" i="1"/>
  <c r="F23" i="1"/>
  <c r="E23" i="1"/>
  <c r="H22" i="1"/>
  <c r="H21" i="1"/>
  <c r="H19" i="1"/>
  <c r="G19" i="1"/>
  <c r="F19" i="1"/>
  <c r="E19" i="1"/>
  <c r="H18" i="1"/>
  <c r="H17" i="1"/>
  <c r="H16" i="1"/>
  <c r="H15" i="1"/>
  <c r="H13" i="1"/>
  <c r="G13" i="1"/>
  <c r="F13" i="1"/>
  <c r="E13" i="1"/>
  <c r="H12" i="1"/>
  <c r="H11" i="1"/>
  <c r="H9" i="1"/>
  <c r="G9" i="1"/>
  <c r="F9" i="1"/>
  <c r="E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<sst xmlns="http://schemas.openxmlformats.org/spreadsheetml/2006/main" count="556" uniqueCount="254">
  <si>
    <t>2026年度第四季度GMV目标确认</t>
  </si>
  <si>
    <t>公式，不要变动</t>
  </si>
  <si>
    <t>部门</t>
  </si>
  <si>
    <t>岗位</t>
  </si>
  <si>
    <t>姓名</t>
  </si>
  <si>
    <t>对应指标</t>
  </si>
  <si>
    <t>10月</t>
  </si>
  <si>
    <t>11月</t>
  </si>
  <si>
    <t>12月</t>
  </si>
  <si>
    <t>Q4合计</t>
  </si>
  <si>
    <t>数据库对应指标名称</t>
  </si>
  <si>
    <t>天猫业务单元/零食</t>
  </si>
  <si>
    <t>天淘电商经理</t>
  </si>
  <si>
    <t>范振吉</t>
  </si>
  <si>
    <t>渠道整体销售收入</t>
  </si>
  <si>
    <t>累计销售收入（GMV）</t>
  </si>
  <si>
    <t>旗舰店运营店长</t>
  </si>
  <si>
    <t>潘磊</t>
  </si>
  <si>
    <t>所负责产品销售收入</t>
  </si>
  <si>
    <t>所负责产品累计销售收入</t>
  </si>
  <si>
    <t>天猫旗舰店运营</t>
  </si>
  <si>
    <t>夏立明</t>
  </si>
  <si>
    <t>天猫运营</t>
  </si>
  <si>
    <t>王永蝶</t>
  </si>
  <si>
    <t>所负责店铺直播销售收入</t>
  </si>
  <si>
    <t>运营管培生</t>
  </si>
  <si>
    <t>毛若羽</t>
  </si>
  <si>
    <t>SMB&amp;咬胶运营</t>
  </si>
  <si>
    <t>缪欣瑶</t>
  </si>
  <si>
    <t>小计：</t>
  </si>
  <si>
    <t>天猫业务单元/主粮</t>
  </si>
  <si>
    <t>主粮运营经理</t>
  </si>
  <si>
    <t>刘天然</t>
  </si>
  <si>
    <t>主粮运营（烘焙）</t>
  </si>
  <si>
    <t>潘明旺</t>
  </si>
  <si>
    <t>京东业务单元</t>
  </si>
  <si>
    <t>京东电商经理</t>
  </si>
  <si>
    <t>付阳</t>
  </si>
  <si>
    <t>京东电商运营</t>
  </si>
  <si>
    <t>马镇浪</t>
  </si>
  <si>
    <t>所负责店铺销售收入</t>
  </si>
  <si>
    <t>负责店铺的销售收入</t>
  </si>
  <si>
    <t>拼多多运营</t>
  </si>
  <si>
    <t>冯烨晖</t>
  </si>
  <si>
    <t>运营专员</t>
  </si>
  <si>
    <t>洪成照</t>
  </si>
  <si>
    <t>平台自营</t>
  </si>
  <si>
    <t>京东&amp;猫超</t>
  </si>
  <si>
    <t>黄文豪</t>
  </si>
  <si>
    <t>闪购</t>
  </si>
  <si>
    <t>孙舒欣</t>
  </si>
  <si>
    <t>天猫超市销售收入</t>
  </si>
  <si>
    <t>天猫超市累计销售收入</t>
  </si>
  <si>
    <t>抖音电商组</t>
  </si>
  <si>
    <t>抖音商务主管</t>
  </si>
  <si>
    <t>梁钰</t>
  </si>
  <si>
    <t>销售收入达成率（抖音）</t>
  </si>
  <si>
    <t>直播运营主管</t>
  </si>
  <si>
    <t>方林霞</t>
  </si>
  <si>
    <t>个人销售收入</t>
  </si>
  <si>
    <t>商务BD</t>
  </si>
  <si>
    <t>杨嘉琪</t>
  </si>
  <si>
    <t>卢民</t>
  </si>
  <si>
    <t>商务专员</t>
  </si>
  <si>
    <t>周智超</t>
  </si>
  <si>
    <t>场控</t>
  </si>
  <si>
    <t>傅可进</t>
  </si>
  <si>
    <t>廖永杰</t>
  </si>
  <si>
    <t>李萍</t>
  </si>
  <si>
    <t>抖音店铺运营</t>
  </si>
  <si>
    <t>郭晓宇</t>
  </si>
  <si>
    <t>主播（全职）</t>
  </si>
  <si>
    <t>缪玲赛</t>
  </si>
  <si>
    <t>袁楷然</t>
  </si>
  <si>
    <t>黄颖冰</t>
  </si>
  <si>
    <t>周俊涛</t>
  </si>
  <si>
    <t>郭恬希</t>
  </si>
  <si>
    <t>内容创作运营支持组</t>
  </si>
  <si>
    <t>内容电商经理</t>
  </si>
  <si>
    <t>黄向前</t>
  </si>
  <si>
    <t>短视频拍剪</t>
  </si>
  <si>
    <t>季节</t>
  </si>
  <si>
    <t>店铺GMV</t>
  </si>
  <si>
    <t>俞梦秋</t>
  </si>
  <si>
    <t>销售一组</t>
  </si>
  <si>
    <t>线下销售经理</t>
  </si>
  <si>
    <t>张震西</t>
  </si>
  <si>
    <t>累计月销售(GMV)达成</t>
  </si>
  <si>
    <t>线下销售主管</t>
  </si>
  <si>
    <t>刘海彬</t>
  </si>
  <si>
    <t>个人销售收入-经销商</t>
  </si>
  <si>
    <t>经销商</t>
  </si>
  <si>
    <t>个人销售收入-即时达</t>
  </si>
  <si>
    <t>车勇超</t>
  </si>
  <si>
    <t>线下商务主管</t>
  </si>
  <si>
    <t>何昌和</t>
  </si>
  <si>
    <t>销售收入达成率（GMV)</t>
  </si>
  <si>
    <t>销售二组</t>
  </si>
  <si>
    <t>KA渠道总监</t>
  </si>
  <si>
    <t>周环寰</t>
  </si>
  <si>
    <t>线上分销主管</t>
  </si>
  <si>
    <t>赵丹</t>
  </si>
  <si>
    <t>唐蔚丽</t>
  </si>
  <si>
    <t>销售三组</t>
  </si>
  <si>
    <t>王小龙</t>
  </si>
  <si>
    <t>陈炎</t>
  </si>
  <si>
    <t>公司目标：</t>
  </si>
  <si>
    <t>分目标加总：</t>
  </si>
  <si>
    <t>季度指标渠道负责人确认：                                      日期：</t>
  </si>
  <si>
    <t>工号</t>
  </si>
  <si>
    <t>员工类型</t>
  </si>
  <si>
    <t>一级部门</t>
  </si>
  <si>
    <t>职位</t>
  </si>
  <si>
    <t>职级</t>
  </si>
  <si>
    <t>入职日期</t>
  </si>
  <si>
    <t>离职日期</t>
  </si>
  <si>
    <t>韦磊</t>
  </si>
  <si>
    <t>OBM000248</t>
  </si>
  <si>
    <t>正式</t>
  </si>
  <si>
    <t>前台</t>
  </si>
  <si>
    <t>前台/大市场部/产品市场PM</t>
  </si>
  <si>
    <t>PM专员</t>
  </si>
  <si>
    <t>P3</t>
  </si>
  <si>
    <t>陈彤童</t>
  </si>
  <si>
    <t>OBM000233</t>
  </si>
  <si>
    <t>前台/大市场部/品牌公关PR</t>
  </si>
  <si>
    <t>品牌策划</t>
  </si>
  <si>
    <t>P4</t>
  </si>
  <si>
    <t>黄贞媚</t>
  </si>
  <si>
    <t>OBM000230</t>
  </si>
  <si>
    <t>前台/海外业务拓展部</t>
  </si>
  <si>
    <t>跨境业务总监</t>
  </si>
  <si>
    <t>P/M4</t>
  </si>
  <si>
    <t>万璐瑶</t>
  </si>
  <si>
    <t>OBM000221</t>
  </si>
  <si>
    <t>PMO-产品市场总监</t>
  </si>
  <si>
    <t>王敏</t>
  </si>
  <si>
    <t>OBM000220</t>
  </si>
  <si>
    <t>前台/内容电商/私域运营组</t>
  </si>
  <si>
    <t>私域运营</t>
  </si>
  <si>
    <t>张语卿</t>
  </si>
  <si>
    <t>OBM000229</t>
  </si>
  <si>
    <t>前台/大市场部/数字营销DM</t>
  </si>
  <si>
    <t>好适嘉官号运营</t>
  </si>
  <si>
    <t>P2</t>
  </si>
  <si>
    <t>石长宇</t>
  </si>
  <si>
    <t>OBM000217</t>
  </si>
  <si>
    <t>资深媒介</t>
  </si>
  <si>
    <t>张洪亮</t>
  </si>
  <si>
    <t>OBM000211</t>
  </si>
  <si>
    <t>P/M3</t>
  </si>
  <si>
    <t>董晟</t>
  </si>
  <si>
    <t>OBM000208</t>
  </si>
  <si>
    <t>前台/Vivaland项目组</t>
  </si>
  <si>
    <t>市场营销策划</t>
  </si>
  <si>
    <t>王继良</t>
  </si>
  <si>
    <t>OBM000204</t>
  </si>
  <si>
    <t>前台/CRM/客户服务</t>
  </si>
  <si>
    <t>质检客服</t>
  </si>
  <si>
    <t>陈可可</t>
  </si>
  <si>
    <t>OBM000203</t>
  </si>
  <si>
    <t>宠物顾问</t>
  </si>
  <si>
    <t>席珍珍</t>
  </si>
  <si>
    <t>OBM000194</t>
  </si>
  <si>
    <t>品牌专员</t>
  </si>
  <si>
    <t>蔡笑笑</t>
  </si>
  <si>
    <t>OBM000185</t>
  </si>
  <si>
    <t>前台/销售管理部/控价管理</t>
  </si>
  <si>
    <t>Trade Mkt</t>
  </si>
  <si>
    <t>公艳菲</t>
  </si>
  <si>
    <t>OBM000181</t>
  </si>
  <si>
    <t>前台/CRM/用户运营</t>
  </si>
  <si>
    <t>crm用户运营专员</t>
  </si>
  <si>
    <t>蒋思琳</t>
  </si>
  <si>
    <t>OBM000178</t>
  </si>
  <si>
    <t>海外市场拓展经理</t>
  </si>
  <si>
    <t>吴心婷</t>
  </si>
  <si>
    <t>OBM000170</t>
  </si>
  <si>
    <t>客服专员</t>
  </si>
  <si>
    <t>王静瑶</t>
  </si>
  <si>
    <t>OBM000139</t>
  </si>
  <si>
    <t>PM经理</t>
  </si>
  <si>
    <t>张梦雅</t>
  </si>
  <si>
    <t>OBM000130</t>
  </si>
  <si>
    <t>用户运营经理</t>
  </si>
  <si>
    <t>侯子洋</t>
  </si>
  <si>
    <t>OBM000128</t>
  </si>
  <si>
    <t>前台/好适嘉项目组</t>
  </si>
  <si>
    <t>好适嘉运营店长</t>
  </si>
  <si>
    <t>庄惠玲</t>
  </si>
  <si>
    <t>OBM000119</t>
  </si>
  <si>
    <t>好适嘉市场经理</t>
  </si>
  <si>
    <t>华天娇</t>
  </si>
  <si>
    <t>OBM000118</t>
  </si>
  <si>
    <t>用户活动专员</t>
  </si>
  <si>
    <t>单春元</t>
  </si>
  <si>
    <t>OBM000116</t>
  </si>
  <si>
    <t>粉丝运营</t>
  </si>
  <si>
    <t>翁文妍</t>
  </si>
  <si>
    <t>OBM000115</t>
  </si>
  <si>
    <t>前台/销售管理部/履约管理</t>
  </si>
  <si>
    <t>销售综合主管</t>
  </si>
  <si>
    <t>赵露露</t>
  </si>
  <si>
    <t>OBM000114</t>
  </si>
  <si>
    <t>线上客服专员</t>
  </si>
  <si>
    <t>庄严</t>
  </si>
  <si>
    <t>OBM000109</t>
  </si>
  <si>
    <t>销售支持高级专员</t>
  </si>
  <si>
    <t>方云</t>
  </si>
  <si>
    <t>OBM000103</t>
  </si>
  <si>
    <t>前台/销售管理部/货盘分配</t>
  </si>
  <si>
    <t>财务助理专员</t>
  </si>
  <si>
    <t>余甜甜</t>
  </si>
  <si>
    <t>OBM000102</t>
  </si>
  <si>
    <t>媒介投放经理</t>
  </si>
  <si>
    <t>陶启苗</t>
  </si>
  <si>
    <t>OBM000091</t>
  </si>
  <si>
    <t>徐滨梅</t>
  </si>
  <si>
    <t>OBM000088</t>
  </si>
  <si>
    <t>销售支持专员</t>
  </si>
  <si>
    <t>姜琳可</t>
  </si>
  <si>
    <t>OBM000086</t>
  </si>
  <si>
    <t>邓苏</t>
  </si>
  <si>
    <t>OBM000081</t>
  </si>
  <si>
    <t>前台/货架电商/运营支持</t>
  </si>
  <si>
    <t>天猫投放运营</t>
  </si>
  <si>
    <t>徐小佑</t>
  </si>
  <si>
    <t>OBM000080</t>
  </si>
  <si>
    <t>官号内容及运营</t>
  </si>
  <si>
    <t>王琳</t>
  </si>
  <si>
    <t>OBM000075</t>
  </si>
  <si>
    <t>前台/销售管理部</t>
  </si>
  <si>
    <t>财务主管</t>
  </si>
  <si>
    <t>陈瑶</t>
  </si>
  <si>
    <t>OBM000067</t>
  </si>
  <si>
    <t>媒介BD专员</t>
  </si>
  <si>
    <t>周欣</t>
  </si>
  <si>
    <t>OBM000066</t>
  </si>
  <si>
    <t>陶莹</t>
  </si>
  <si>
    <t>OBM000063</t>
  </si>
  <si>
    <t>客服经理</t>
  </si>
  <si>
    <t>何林倩</t>
  </si>
  <si>
    <t>OBM000061</t>
  </si>
  <si>
    <t>朱婷</t>
  </si>
  <si>
    <t>OBM000041</t>
  </si>
  <si>
    <t>乐丽霞</t>
  </si>
  <si>
    <t>OBM000019</t>
  </si>
  <si>
    <t>线上客服组长</t>
  </si>
  <si>
    <t>丁亚楠</t>
  </si>
  <si>
    <t>OBM000016</t>
  </si>
  <si>
    <t>公关经理</t>
  </si>
  <si>
    <t>孙可利</t>
  </si>
  <si>
    <t>OBM000017</t>
  </si>
  <si>
    <t>及时达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</si>
</sst>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\.0,&quot;万&quot;"/>
  </numFmts>
  <fonts count="17" x14ac:knownFonts="1">
    <font>
      <sz val="12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4"/>
      <name val="宋体"/>
      <charset val="134"/>
    </font>
    <font>
      <sz val="12"/>
      <name val="宋体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00B0F0"/>
      <name val="微软雅黑"/>
      <charset val="134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b/>
      <sz val="24"/>
      <color rgb="FF000000"/>
      <name val="微软雅黑"/>
      <charset val="134"/>
    </font>
    <font>
      <sz val="11"/>
      <color rgb="FFFF0000"/>
      <name val="宋体"/>
      <charset val="134"/>
    </font>
    <font>
      <b/>
      <sz val="9"/>
      <color rgb="FF000000"/>
      <name val="微软雅黑"/>
      <charset val="134"/>
    </font>
    <font>
      <sz val="9"/>
      <color rgb="FF3F3F3F"/>
      <name val="微软雅黑"/>
      <charset val="134"/>
    </font>
    <font>
      <sz val="10"/>
      <color rgb="FF000000"/>
      <name val="等线"/>
      <charset val="134"/>
    </font>
    <font>
      <b/>
      <sz val="11"/>
      <color rgb="FF000000"/>
      <name val="微软雅黑"/>
      <charset val="134"/>
    </font>
    <font>
      <sz val="9"/>
      <name val="等线"/>
      <charset val="134"/>
      <scheme val="minor"/>
    </font>
    <font>
      <sz val="9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BBD2FF"/>
        <bgColor indexed="64"/>
      </patternFill>
    </fill>
    <fill>
      <patternFill patternType="solid">
        <fgColor rgb="FFD3F4F1"/>
        <bgColor indexed="64"/>
      </patternFill>
    </fill>
    <fill>
      <patternFill patternType="solid">
        <fgColor rgb="FFFEE595"/>
        <bgColor indexed="64"/>
      </patternFill>
    </fill>
    <fill>
      <patternFill patternType="solid">
        <fgColor rgb="FFDAE3F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  <xf numFmtId="176" fontId="1" fillId="0" borderId="0" xfId="0" applyNumberFormat="1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7" fillId="0" borderId="0" xfId="0" applyFont="1" applyAlignment="1">
      <alignment horizontal="left" wrapText="1"/>
    </xf>
    <xf numFmtId="0" fontId="7" fillId="0" borderId="0" xfId="0" applyFont="1" applyAlignment="1"/>
    <xf numFmtId="0" fontId="9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>
      <alignment vertical="center"/>
    </xf>
    <xf numFmtId="0" fontId="11" fillId="4" borderId="2" xfId="0" applyFont="1" applyFill="1" applyBorder="1">
      <alignment vertical="center"/>
    </xf>
    <xf numFmtId="0" fontId="12" fillId="0" borderId="2" xfId="0" applyFont="1" applyBorder="1">
      <alignment vertical="center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0" fontId="5" fillId="5" borderId="2" xfId="0" applyFont="1" applyFill="1" applyBorder="1">
      <alignment vertical="center"/>
    </xf>
    <xf numFmtId="14" fontId="5" fillId="5" borderId="2" xfId="0" applyNumberFormat="1" applyFont="1" applyFill="1" applyBorder="1">
      <alignment vertical="center"/>
    </xf>
    <xf numFmtId="177" fontId="5" fillId="5" borderId="2" xfId="0" applyNumberFormat="1" applyFont="1" applyFill="1" applyBorder="1">
      <alignment vertical="center"/>
    </xf>
    <xf numFmtId="177" fontId="11" fillId="5" borderId="2" xfId="0" applyNumberFormat="1" applyFont="1" applyFill="1" applyBorder="1">
      <alignment vertical="center"/>
    </xf>
    <xf numFmtId="0" fontId="1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177" fontId="5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0" fontId="5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3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67"/>
  <sheetViews>
    <sheetView showGridLines="0" tabSelected="1" workbookViewId="0">
      <pane xSplit="4" ySplit="2" topLeftCell="E3" activePane="bottomRight" state="frozen"/>
      <selection pane="topRight"/>
      <selection pane="bottomLeft"/>
      <selection pane="bottomRight" activeCell="K11" sqref="K11"/>
    </sheetView>
  </sheetViews>
  <sheetFormatPr defaultColWidth="9" defaultRowHeight="14.45" customHeight="1" outlineLevelCol="1" x14ac:dyDescent="0.15"/>
  <cols>
    <col min="1" max="1" width="18.875" style="10" customWidth="1"/>
    <col min="2" max="2" width="13.5" style="11" customWidth="1"/>
    <col min="3" max="3" width="13.375" style="11" customWidth="1"/>
    <col min="4" max="4" width="19.125" style="11" customWidth="1"/>
    <col min="5" max="7" width="16.125" style="11" customWidth="1" outlineLevel="1"/>
    <col min="8" max="8" width="12.5" style="11" customWidth="1" outlineLevel="1"/>
    <col min="9" max="9" width="18.875" style="11" customWidth="1"/>
    <col min="10" max="40" width="9" style="11" customWidth="1"/>
  </cols>
  <sheetData>
    <row r="1" spans="1:10" ht="38.1" customHeight="1" x14ac:dyDescent="0.55000000000000004">
      <c r="A1" s="12" t="s">
        <v>0</v>
      </c>
      <c r="H1" s="13" t="s">
        <v>1</v>
      </c>
    </row>
    <row r="2" spans="1:10" s="5" customFormat="1" ht="20.100000000000001" customHeight="1" x14ac:dyDescent="0.25">
      <c r="A2" s="14" t="s">
        <v>2</v>
      </c>
      <c r="B2" s="15" t="s">
        <v>3</v>
      </c>
      <c r="C2" s="15" t="s">
        <v>4</v>
      </c>
      <c r="D2" s="15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5" t="s">
        <v>10</v>
      </c>
    </row>
    <row r="3" spans="1:10" s="6" customFormat="1" ht="20.100000000000001" customHeight="1" x14ac:dyDescent="0.25">
      <c r="A3" s="33" t="s">
        <v>11</v>
      </c>
      <c r="B3" s="17" t="s">
        <v>12</v>
      </c>
      <c r="C3" s="18" t="s">
        <v>13</v>
      </c>
      <c r="D3" s="18" t="s">
        <v>14</v>
      </c>
      <c r="E3" s="19"/>
      <c r="F3" s="19"/>
      <c r="G3" s="19"/>
      <c r="H3" s="19">
        <f t="shared" ref="H3:H8" si="0">SUM(E3:G3)</f>
        <v>0</v>
      </c>
      <c r="I3" s="6" t="s">
        <v>15</v>
      </c>
    </row>
    <row r="4" spans="1:10" s="6" customFormat="1" ht="20.100000000000001" customHeight="1" x14ac:dyDescent="0.25">
      <c r="A4" s="33"/>
      <c r="B4" s="20" t="s">
        <v>16</v>
      </c>
      <c r="C4" s="20" t="s">
        <v>17</v>
      </c>
      <c r="D4" s="21" t="s">
        <v>18</v>
      </c>
      <c r="E4" s="22"/>
      <c r="F4" s="22"/>
      <c r="G4" s="22"/>
      <c r="H4" s="22">
        <f t="shared" si="0"/>
        <v>0</v>
      </c>
      <c r="I4" s="6" t="s">
        <v>19</v>
      </c>
    </row>
    <row r="5" spans="1:10" s="6" customFormat="1" ht="20.100000000000001" customHeight="1" x14ac:dyDescent="0.25">
      <c r="A5" s="33"/>
      <c r="B5" s="20" t="s">
        <v>20</v>
      </c>
      <c r="C5" s="20" t="s">
        <v>21</v>
      </c>
      <c r="D5" s="21" t="s">
        <v>18</v>
      </c>
      <c r="E5" s="22"/>
      <c r="F5" s="22"/>
      <c r="G5" s="22"/>
      <c r="H5" s="22">
        <f t="shared" si="0"/>
        <v>0</v>
      </c>
      <c r="I5" s="6" t="s">
        <v>19</v>
      </c>
    </row>
    <row r="6" spans="1:10" s="7" customFormat="1" ht="20.100000000000001" customHeight="1" x14ac:dyDescent="0.25">
      <c r="A6" s="33"/>
      <c r="B6" s="20" t="s">
        <v>22</v>
      </c>
      <c r="C6" s="20" t="s">
        <v>23</v>
      </c>
      <c r="D6" s="21" t="s">
        <v>24</v>
      </c>
      <c r="E6" s="22"/>
      <c r="F6" s="22"/>
      <c r="G6" s="22"/>
      <c r="H6" s="22">
        <f t="shared" si="0"/>
        <v>0</v>
      </c>
      <c r="I6" s="6" t="s">
        <v>24</v>
      </c>
      <c r="J6" s="6"/>
    </row>
    <row r="7" spans="1:10" s="7" customFormat="1" ht="20.100000000000001" customHeight="1" x14ac:dyDescent="0.25">
      <c r="A7" s="33"/>
      <c r="B7" s="20" t="s">
        <v>25</v>
      </c>
      <c r="C7" s="20" t="s">
        <v>26</v>
      </c>
      <c r="D7" s="21" t="s">
        <v>18</v>
      </c>
      <c r="E7" s="22"/>
      <c r="F7" s="22"/>
      <c r="G7" s="22"/>
      <c r="H7" s="22">
        <f t="shared" si="0"/>
        <v>0</v>
      </c>
      <c r="I7" s="6" t="s">
        <v>52</v>
      </c>
      <c r="J7" s="6"/>
    </row>
    <row r="8" spans="1:10" s="6" customFormat="1" ht="20.100000000000001" customHeight="1" x14ac:dyDescent="0.25">
      <c r="A8" s="33"/>
      <c r="B8" s="20" t="s">
        <v>27</v>
      </c>
      <c r="C8" s="20" t="s">
        <v>28</v>
      </c>
      <c r="D8" s="21" t="s">
        <v>18</v>
      </c>
      <c r="E8" s="22"/>
      <c r="F8" s="22"/>
      <c r="G8" s="22"/>
      <c r="H8" s="22">
        <f t="shared" si="0"/>
        <v>0</v>
      </c>
      <c r="I8" s="6" t="s">
        <v>19</v>
      </c>
    </row>
    <row r="9" spans="1:10" s="6" customFormat="1" ht="20.100000000000001" customHeight="1" x14ac:dyDescent="0.25">
      <c r="A9" s="33"/>
      <c r="B9" s="32" t="s">
        <v>29</v>
      </c>
      <c r="C9" s="32"/>
      <c r="D9" s="32"/>
      <c r="E9" s="23">
        <f>SUBTOTAL(9,E4:E8)</f>
        <v>0</v>
      </c>
      <c r="F9" s="23">
        <f>SUBTOTAL(9,F4:F8)</f>
        <v>0</v>
      </c>
      <c r="G9" s="23">
        <f>SUBTOTAL(9,G4:G8)</f>
        <v>0</v>
      </c>
      <c r="H9" s="23">
        <f>SUBTOTAL(9,H4:H8)</f>
        <v>0</v>
      </c>
    </row>
    <row r="10" spans="1:10" s="5" customFormat="1" ht="20.100000000000001" customHeight="1" x14ac:dyDescent="0.25">
      <c r="A10" s="14" t="s">
        <v>2</v>
      </c>
      <c r="B10" s="15" t="s">
        <v>3</v>
      </c>
      <c r="C10" s="15" t="s">
        <v>4</v>
      </c>
      <c r="D10" s="15" t="s">
        <v>5</v>
      </c>
      <c r="E10" s="16" t="s">
        <v>6</v>
      </c>
      <c r="F10" s="16" t="s">
        <v>7</v>
      </c>
      <c r="G10" s="16" t="s">
        <v>8</v>
      </c>
      <c r="H10" s="16" t="s">
        <v>9</v>
      </c>
      <c r="I10" s="6"/>
      <c r="J10" s="6"/>
    </row>
    <row r="11" spans="1:10" s="6" customFormat="1" ht="20.100000000000001" customHeight="1" x14ac:dyDescent="0.25">
      <c r="A11" s="33" t="s">
        <v>30</v>
      </c>
      <c r="B11" s="24" t="s">
        <v>31</v>
      </c>
      <c r="C11" s="25" t="s">
        <v>32</v>
      </c>
      <c r="D11" s="18" t="s">
        <v>14</v>
      </c>
      <c r="E11" s="19"/>
      <c r="F11" s="19"/>
      <c r="G11" s="19"/>
      <c r="H11" s="19">
        <f>SUM(E11:G11)</f>
        <v>0</v>
      </c>
      <c r="I11" s="6" t="s">
        <v>15</v>
      </c>
    </row>
    <row r="12" spans="1:10" s="6" customFormat="1" ht="20.100000000000001" customHeight="1" x14ac:dyDescent="0.25">
      <c r="A12" s="33"/>
      <c r="B12" s="20" t="s">
        <v>33</v>
      </c>
      <c r="C12" s="20" t="s">
        <v>34</v>
      </c>
      <c r="D12" s="21" t="s">
        <v>18</v>
      </c>
      <c r="E12" s="22"/>
      <c r="F12" s="22"/>
      <c r="G12" s="22"/>
      <c r="H12" s="22">
        <f>SUM(E12:G12)</f>
        <v>0</v>
      </c>
      <c r="I12" s="6" t="s">
        <v>19</v>
      </c>
    </row>
    <row r="13" spans="1:10" s="8" customFormat="1" ht="20.100000000000001" customHeight="1" x14ac:dyDescent="0.25">
      <c r="A13" s="33"/>
      <c r="B13" s="32" t="s">
        <v>29</v>
      </c>
      <c r="C13" s="32"/>
      <c r="D13" s="32"/>
      <c r="E13" s="23">
        <f>SUBTOTAL(9,E12:E12)</f>
        <v>0</v>
      </c>
      <c r="F13" s="23">
        <f>SUBTOTAL(9,F12:F12)</f>
        <v>0</v>
      </c>
      <c r="G13" s="23">
        <f>SUBTOTAL(9,G12:G12)</f>
        <v>0</v>
      </c>
      <c r="H13" s="23">
        <f>SUBTOTAL(9,H12:H12)</f>
        <v>0</v>
      </c>
      <c r="I13" s="6"/>
      <c r="J13" s="6"/>
    </row>
    <row r="14" spans="1:10" s="5" customFormat="1" ht="20.100000000000001" customHeight="1" x14ac:dyDescent="0.25">
      <c r="A14" s="14" t="s">
        <v>2</v>
      </c>
      <c r="B14" s="15" t="s">
        <v>3</v>
      </c>
      <c r="C14" s="15" t="s">
        <v>4</v>
      </c>
      <c r="D14" s="15" t="s">
        <v>5</v>
      </c>
      <c r="E14" s="16" t="s">
        <v>6</v>
      </c>
      <c r="F14" s="16" t="s">
        <v>7</v>
      </c>
      <c r="G14" s="16" t="s">
        <v>8</v>
      </c>
      <c r="H14" s="16" t="s">
        <v>9</v>
      </c>
      <c r="I14" s="6"/>
      <c r="J14" s="6"/>
    </row>
    <row r="15" spans="1:10" s="6" customFormat="1" ht="20.100000000000001" customHeight="1" x14ac:dyDescent="0.25">
      <c r="A15" s="33" t="s">
        <v>35</v>
      </c>
      <c r="B15" s="24" t="s">
        <v>36</v>
      </c>
      <c r="C15" s="25" t="s">
        <v>37</v>
      </c>
      <c r="D15" s="18" t="s">
        <v>14</v>
      </c>
      <c r="E15" s="19"/>
      <c r="F15" s="19"/>
      <c r="G15" s="19"/>
      <c r="H15" s="19">
        <f>SUM(E15:G15)</f>
        <v>0</v>
      </c>
      <c r="I15" s="6" t="s">
        <v>15</v>
      </c>
    </row>
    <row r="16" spans="1:10" s="6" customFormat="1" ht="20.100000000000001" customHeight="1" x14ac:dyDescent="0.25">
      <c r="A16" s="33"/>
      <c r="B16" s="20" t="s">
        <v>38</v>
      </c>
      <c r="C16" s="20" t="s">
        <v>39</v>
      </c>
      <c r="D16" s="21" t="s">
        <v>40</v>
      </c>
      <c r="E16" s="22"/>
      <c r="F16" s="22"/>
      <c r="G16" s="22"/>
      <c r="H16" s="22">
        <f>SUM(E16:G16)</f>
        <v>0</v>
      </c>
      <c r="I16" s="6" t="s">
        <v>41</v>
      </c>
    </row>
    <row r="17" spans="1:10" s="6" customFormat="1" ht="20.100000000000001" customHeight="1" x14ac:dyDescent="0.25">
      <c r="A17" s="33"/>
      <c r="B17" s="20" t="s">
        <v>42</v>
      </c>
      <c r="C17" s="20" t="s">
        <v>43</v>
      </c>
      <c r="D17" s="21" t="s">
        <v>40</v>
      </c>
      <c r="E17" s="22"/>
      <c r="F17" s="22"/>
      <c r="G17" s="22"/>
      <c r="H17" s="22">
        <f>SUM(E17:G17)</f>
        <v>0</v>
      </c>
      <c r="I17" s="6" t="s">
        <v>41</v>
      </c>
    </row>
    <row r="18" spans="1:10" s="6" customFormat="1" ht="20.100000000000001" customHeight="1" x14ac:dyDescent="0.25">
      <c r="A18" s="33"/>
      <c r="B18" s="20" t="s">
        <v>44</v>
      </c>
      <c r="C18" s="20" t="s">
        <v>45</v>
      </c>
      <c r="D18" s="21" t="s">
        <v>40</v>
      </c>
      <c r="E18" s="22"/>
      <c r="F18" s="22"/>
      <c r="G18" s="22"/>
      <c r="H18" s="22">
        <f>SUM(E18:G18)</f>
        <v>0</v>
      </c>
      <c r="I18" s="6" t="s">
        <v>41</v>
      </c>
    </row>
    <row r="19" spans="1:10" ht="20.100000000000001" customHeight="1" x14ac:dyDescent="0.15">
      <c r="A19" s="33"/>
      <c r="B19" s="32" t="s">
        <v>29</v>
      </c>
      <c r="C19" s="32"/>
      <c r="D19" s="32"/>
      <c r="E19" s="23">
        <f>SUBTOTAL(9,E16:E18)</f>
        <v>0</v>
      </c>
      <c r="F19" s="23">
        <f>SUBTOTAL(9,F16:F18)</f>
        <v>0</v>
      </c>
      <c r="G19" s="23">
        <f>SUBTOTAL(9,G16:G18)</f>
        <v>0</v>
      </c>
      <c r="H19" s="23">
        <f>SUBTOTAL(9,H16:H18)</f>
        <v>0</v>
      </c>
      <c r="I19" s="6"/>
      <c r="J19" s="6"/>
    </row>
    <row r="20" spans="1:10" s="5" customFormat="1" ht="20.100000000000001" customHeight="1" x14ac:dyDescent="0.25">
      <c r="A20" s="14" t="s">
        <v>2</v>
      </c>
      <c r="B20" s="15" t="s">
        <v>3</v>
      </c>
      <c r="C20" s="15" t="s">
        <v>4</v>
      </c>
      <c r="D20" s="15" t="s">
        <v>5</v>
      </c>
      <c r="E20" s="16" t="s">
        <v>6</v>
      </c>
      <c r="F20" s="16" t="s">
        <v>7</v>
      </c>
      <c r="G20" s="16" t="s">
        <v>8</v>
      </c>
      <c r="H20" s="16" t="s">
        <v>9</v>
      </c>
      <c r="I20" s="6"/>
      <c r="J20" s="6"/>
    </row>
    <row r="21" spans="1:10" s="6" customFormat="1" ht="20.100000000000001" customHeight="1" x14ac:dyDescent="0.25">
      <c r="A21" s="33" t="s">
        <v>46</v>
      </c>
      <c r="B21" s="24" t="s">
        <v>47</v>
      </c>
      <c r="C21" s="25" t="s">
        <v>48</v>
      </c>
      <c r="D21" s="18" t="s">
        <v>40</v>
      </c>
      <c r="E21" s="19"/>
      <c r="F21" s="19"/>
      <c r="G21" s="19"/>
      <c r="H21" s="19">
        <f>SUM(E21:G21)</f>
        <v>0</v>
      </c>
      <c r="I21" s="6" t="s">
        <v>19</v>
      </c>
    </row>
    <row r="22" spans="1:10" s="6" customFormat="1" ht="20.100000000000001" customHeight="1" x14ac:dyDescent="0.25">
      <c r="A22" s="33"/>
      <c r="B22" s="20" t="s">
        <v>49</v>
      </c>
      <c r="C22" s="20" t="s">
        <v>50</v>
      </c>
      <c r="D22" s="21" t="s">
        <v>51</v>
      </c>
      <c r="E22" s="22"/>
      <c r="F22" s="22"/>
      <c r="G22" s="22"/>
      <c r="H22" s="22">
        <f>SUM(E22:G22)</f>
        <v>0</v>
      </c>
      <c r="I22" s="6" t="s">
        <v>52</v>
      </c>
    </row>
    <row r="23" spans="1:10" s="8" customFormat="1" ht="20.100000000000001" customHeight="1" x14ac:dyDescent="0.25">
      <c r="A23" s="33"/>
      <c r="B23" s="32" t="s">
        <v>29</v>
      </c>
      <c r="C23" s="32"/>
      <c r="D23" s="32"/>
      <c r="E23" s="23">
        <f>SUBTOTAL(9,E22:E22)</f>
        <v>0</v>
      </c>
      <c r="F23" s="23">
        <f>SUBTOTAL(9,F22:F22)</f>
        <v>0</v>
      </c>
      <c r="G23" s="23">
        <f>SUBTOTAL(9,G22:G22)</f>
        <v>0</v>
      </c>
      <c r="H23" s="23">
        <f>SUBTOTAL(9,H22:H22)</f>
        <v>0</v>
      </c>
      <c r="I23" s="6"/>
      <c r="J23" s="6"/>
    </row>
    <row r="24" spans="1:10" s="5" customFormat="1" ht="20.100000000000001" customHeight="1" x14ac:dyDescent="0.25">
      <c r="A24" s="14" t="s">
        <v>2</v>
      </c>
      <c r="B24" s="15" t="s">
        <v>3</v>
      </c>
      <c r="C24" s="15" t="s">
        <v>4</v>
      </c>
      <c r="D24" s="15" t="s">
        <v>5</v>
      </c>
      <c r="E24" s="16" t="s">
        <v>6</v>
      </c>
      <c r="F24" s="16" t="s">
        <v>7</v>
      </c>
      <c r="G24" s="16" t="s">
        <v>8</v>
      </c>
      <c r="H24" s="16" t="s">
        <v>9</v>
      </c>
      <c r="I24" s="6"/>
      <c r="J24" s="6"/>
    </row>
    <row r="25" spans="1:10" s="6" customFormat="1" ht="20.100000000000001" customHeight="1" x14ac:dyDescent="0.25">
      <c r="A25" s="33" t="s">
        <v>53</v>
      </c>
      <c r="B25" s="25" t="s">
        <v>54</v>
      </c>
      <c r="C25" s="25" t="s">
        <v>55</v>
      </c>
      <c r="D25" s="18" t="s">
        <v>14</v>
      </c>
      <c r="E25" s="19"/>
      <c r="F25" s="19"/>
      <c r="G25" s="19"/>
      <c r="H25" s="19">
        <f t="shared" ref="H25:H38" si="1">SUM(E25:G25)</f>
        <v>0</v>
      </c>
      <c r="I25" s="6" t="s">
        <v>56</v>
      </c>
    </row>
    <row r="26" spans="1:10" s="6" customFormat="1" ht="20.100000000000001" customHeight="1" x14ac:dyDescent="0.25">
      <c r="A26" s="33"/>
      <c r="B26" s="20" t="s">
        <v>57</v>
      </c>
      <c r="C26" s="20" t="s">
        <v>58</v>
      </c>
      <c r="D26" s="21" t="s">
        <v>59</v>
      </c>
      <c r="E26" s="22"/>
      <c r="F26" s="22"/>
      <c r="G26" s="22"/>
      <c r="H26" s="22">
        <f t="shared" si="1"/>
        <v>0</v>
      </c>
      <c r="I26" s="6" t="s">
        <v>56</v>
      </c>
    </row>
    <row r="27" spans="1:10" s="6" customFormat="1" ht="20.100000000000001" customHeight="1" x14ac:dyDescent="0.25">
      <c r="A27" s="33"/>
      <c r="B27" s="20" t="s">
        <v>60</v>
      </c>
      <c r="C27" s="20" t="s">
        <v>61</v>
      </c>
      <c r="D27" s="21" t="s">
        <v>59</v>
      </c>
      <c r="E27" s="22"/>
      <c r="F27" s="22"/>
      <c r="G27" s="22"/>
      <c r="H27" s="22">
        <f t="shared" si="1"/>
        <v>0</v>
      </c>
      <c r="I27" s="6" t="s">
        <v>56</v>
      </c>
    </row>
    <row r="28" spans="1:10" s="6" customFormat="1" ht="20.100000000000001" customHeight="1" x14ac:dyDescent="0.25">
      <c r="A28" s="33"/>
      <c r="B28" s="20" t="s">
        <v>60</v>
      </c>
      <c r="C28" s="20" t="s">
        <v>62</v>
      </c>
      <c r="D28" s="21" t="s">
        <v>59</v>
      </c>
      <c r="E28" s="22"/>
      <c r="F28" s="22"/>
      <c r="G28" s="22"/>
      <c r="H28" s="22">
        <f t="shared" si="1"/>
        <v>0</v>
      </c>
      <c r="I28" s="6" t="s">
        <v>56</v>
      </c>
    </row>
    <row r="29" spans="1:10" s="6" customFormat="1" ht="20.100000000000001" customHeight="1" x14ac:dyDescent="0.25">
      <c r="A29" s="33"/>
      <c r="B29" s="20" t="s">
        <v>63</v>
      </c>
      <c r="C29" s="20" t="s">
        <v>64</v>
      </c>
      <c r="D29" s="21" t="s">
        <v>59</v>
      </c>
      <c r="E29" s="22"/>
      <c r="F29" s="22"/>
      <c r="G29" s="22"/>
      <c r="H29" s="22">
        <f t="shared" si="1"/>
        <v>0</v>
      </c>
      <c r="I29" s="6" t="s">
        <v>56</v>
      </c>
    </row>
    <row r="30" spans="1:10" s="6" customFormat="1" ht="20.100000000000001" customHeight="1" x14ac:dyDescent="0.25">
      <c r="A30" s="33"/>
      <c r="B30" s="20" t="s">
        <v>65</v>
      </c>
      <c r="C30" s="20" t="s">
        <v>66</v>
      </c>
      <c r="D30" s="21" t="s">
        <v>59</v>
      </c>
      <c r="E30" s="22"/>
      <c r="F30" s="22"/>
      <c r="G30" s="22"/>
      <c r="H30" s="22">
        <f t="shared" si="1"/>
        <v>0</v>
      </c>
      <c r="I30" s="6" t="s">
        <v>56</v>
      </c>
    </row>
    <row r="31" spans="1:10" s="6" customFormat="1" ht="20.100000000000001" customHeight="1" x14ac:dyDescent="0.25">
      <c r="A31" s="33"/>
      <c r="B31" s="20" t="s">
        <v>65</v>
      </c>
      <c r="C31" s="20" t="s">
        <v>67</v>
      </c>
      <c r="D31" s="21" t="s">
        <v>59</v>
      </c>
      <c r="E31" s="22"/>
      <c r="F31" s="22"/>
      <c r="G31" s="22"/>
      <c r="H31" s="22">
        <f t="shared" si="1"/>
        <v>0</v>
      </c>
      <c r="I31" s="6" t="s">
        <v>56</v>
      </c>
    </row>
    <row r="32" spans="1:10" s="6" customFormat="1" ht="20.100000000000001" customHeight="1" x14ac:dyDescent="0.25">
      <c r="A32" s="33"/>
      <c r="B32" s="20" t="s">
        <v>65</v>
      </c>
      <c r="C32" s="20" t="s">
        <v>68</v>
      </c>
      <c r="D32" s="21" t="s">
        <v>59</v>
      </c>
      <c r="E32" s="22"/>
      <c r="F32" s="22"/>
      <c r="G32" s="22"/>
      <c r="H32" s="22">
        <f t="shared" si="1"/>
        <v>0</v>
      </c>
      <c r="I32" s="6" t="s">
        <v>56</v>
      </c>
    </row>
    <row r="33" spans="1:13" s="6" customFormat="1" ht="20.100000000000001" customHeight="1" x14ac:dyDescent="0.25">
      <c r="A33" s="33"/>
      <c r="B33" s="20" t="s">
        <v>69</v>
      </c>
      <c r="C33" s="20" t="s">
        <v>70</v>
      </c>
      <c r="D33" s="21" t="s">
        <v>59</v>
      </c>
      <c r="E33" s="22"/>
      <c r="F33" s="22"/>
      <c r="G33" s="22"/>
      <c r="H33" s="22">
        <f t="shared" si="1"/>
        <v>0</v>
      </c>
      <c r="I33" s="6" t="s">
        <v>56</v>
      </c>
    </row>
    <row r="34" spans="1:13" s="6" customFormat="1" ht="20.100000000000001" customHeight="1" x14ac:dyDescent="0.25">
      <c r="A34" s="33"/>
      <c r="B34" s="20" t="s">
        <v>71</v>
      </c>
      <c r="C34" s="20" t="s">
        <v>72</v>
      </c>
      <c r="D34" s="21" t="s">
        <v>59</v>
      </c>
      <c r="E34" s="22"/>
      <c r="F34" s="22"/>
      <c r="G34" s="22"/>
      <c r="H34" s="22">
        <f t="shared" si="1"/>
        <v>0</v>
      </c>
      <c r="I34" s="6" t="s">
        <v>56</v>
      </c>
    </row>
    <row r="35" spans="1:13" s="6" customFormat="1" ht="20.100000000000001" customHeight="1" x14ac:dyDescent="0.25">
      <c r="A35" s="33"/>
      <c r="B35" s="20" t="s">
        <v>71</v>
      </c>
      <c r="C35" s="20" t="s">
        <v>73</v>
      </c>
      <c r="D35" s="21" t="s">
        <v>59</v>
      </c>
      <c r="E35" s="22"/>
      <c r="F35" s="22"/>
      <c r="G35" s="22"/>
      <c r="H35" s="22">
        <f t="shared" si="1"/>
        <v>0</v>
      </c>
      <c r="I35" s="6" t="s">
        <v>56</v>
      </c>
    </row>
    <row r="36" spans="1:13" s="6" customFormat="1" ht="20.100000000000001" customHeight="1" x14ac:dyDescent="0.25">
      <c r="A36" s="33"/>
      <c r="B36" s="20" t="s">
        <v>71</v>
      </c>
      <c r="C36" s="20" t="s">
        <v>74</v>
      </c>
      <c r="D36" s="21" t="s">
        <v>59</v>
      </c>
      <c r="E36" s="22"/>
      <c r="F36" s="22"/>
      <c r="G36" s="22"/>
      <c r="H36" s="22">
        <f t="shared" si="1"/>
        <v>0</v>
      </c>
      <c r="I36" s="6" t="s">
        <v>56</v>
      </c>
    </row>
    <row r="37" spans="1:13" s="6" customFormat="1" ht="20.100000000000001" customHeight="1" x14ac:dyDescent="0.25">
      <c r="A37" s="33"/>
      <c r="B37" s="20" t="s">
        <v>71</v>
      </c>
      <c r="C37" s="20" t="s">
        <v>75</v>
      </c>
      <c r="D37" s="21" t="s">
        <v>59</v>
      </c>
      <c r="E37" s="22"/>
      <c r="F37" s="22"/>
      <c r="G37" s="22"/>
      <c r="H37" s="22">
        <f t="shared" si="1"/>
        <v>0</v>
      </c>
      <c r="I37" s="6" t="s">
        <v>56</v>
      </c>
    </row>
    <row r="38" spans="1:13" s="6" customFormat="1" ht="20.100000000000001" customHeight="1" x14ac:dyDescent="0.25">
      <c r="A38" s="33"/>
      <c r="B38" s="20" t="s">
        <v>71</v>
      </c>
      <c r="C38" s="20" t="s">
        <v>76</v>
      </c>
      <c r="D38" s="21" t="s">
        <v>59</v>
      </c>
      <c r="E38" s="22"/>
      <c r="F38" s="22"/>
      <c r="G38" s="22"/>
      <c r="H38" s="22">
        <f t="shared" si="1"/>
        <v>0</v>
      </c>
      <c r="I38" s="6" t="s">
        <v>56</v>
      </c>
    </row>
    <row r="39" spans="1:13" s="6" customFormat="1" ht="20.100000000000001" customHeight="1" x14ac:dyDescent="0.25">
      <c r="A39" s="33"/>
      <c r="B39" s="32" t="s">
        <v>29</v>
      </c>
      <c r="C39" s="32"/>
      <c r="D39" s="32"/>
      <c r="E39" s="23">
        <f>SUBTOTAL(9,E26:E38)</f>
        <v>0</v>
      </c>
      <c r="F39" s="23">
        <f>SUBTOTAL(9,F26:F38)</f>
        <v>0</v>
      </c>
      <c r="G39" s="23">
        <f>SUBTOTAL(9,G26:G38)</f>
        <v>0</v>
      </c>
      <c r="H39" s="23">
        <f>SUBTOTAL(9,H26:H38)</f>
        <v>0</v>
      </c>
    </row>
    <row r="40" spans="1:13" s="5" customFormat="1" ht="20.100000000000001" customHeight="1" x14ac:dyDescent="0.25">
      <c r="A40" s="14" t="s">
        <v>2</v>
      </c>
      <c r="B40" s="15" t="s">
        <v>3</v>
      </c>
      <c r="C40" s="15" t="s">
        <v>4</v>
      </c>
      <c r="D40" s="15" t="s">
        <v>5</v>
      </c>
      <c r="E40" s="16" t="s">
        <v>6</v>
      </c>
      <c r="F40" s="16" t="s">
        <v>7</v>
      </c>
      <c r="G40" s="16" t="s">
        <v>8</v>
      </c>
      <c r="H40" s="16" t="s">
        <v>9</v>
      </c>
      <c r="I40" s="6"/>
      <c r="J40" s="6"/>
      <c r="K40" s="6"/>
      <c r="L40" s="6"/>
      <c r="M40" s="6"/>
    </row>
    <row r="41" spans="1:13" s="6" customFormat="1" ht="20.100000000000001" customHeight="1" x14ac:dyDescent="0.25">
      <c r="A41" s="34" t="s">
        <v>77</v>
      </c>
      <c r="B41" s="25" t="s">
        <v>78</v>
      </c>
      <c r="C41" s="25" t="s">
        <v>79</v>
      </c>
      <c r="D41" s="18" t="s">
        <v>14</v>
      </c>
      <c r="E41" s="19"/>
      <c r="F41" s="19"/>
      <c r="G41" s="19"/>
      <c r="H41" s="19">
        <f>SUM(E41:G41)</f>
        <v>0</v>
      </c>
      <c r="I41" s="6" t="s">
        <v>15</v>
      </c>
      <c r="K41" s="5"/>
      <c r="L41" s="5"/>
      <c r="M41" s="5"/>
    </row>
    <row r="42" spans="1:13" s="6" customFormat="1" ht="20.100000000000001" customHeight="1" x14ac:dyDescent="0.25">
      <c r="A42" s="35"/>
      <c r="B42" s="20" t="s">
        <v>80</v>
      </c>
      <c r="C42" s="20" t="s">
        <v>81</v>
      </c>
      <c r="D42" s="21" t="s">
        <v>59</v>
      </c>
      <c r="E42" s="22"/>
      <c r="F42" s="22"/>
      <c r="G42" s="22"/>
      <c r="H42" s="22">
        <f>SUM(E42:G42)</f>
        <v>0</v>
      </c>
      <c r="I42" s="6" t="s">
        <v>82</v>
      </c>
    </row>
    <row r="43" spans="1:13" s="6" customFormat="1" ht="20.100000000000001" customHeight="1" x14ac:dyDescent="0.25">
      <c r="A43" s="36"/>
      <c r="B43" s="20" t="s">
        <v>80</v>
      </c>
      <c r="C43" s="20" t="s">
        <v>83</v>
      </c>
      <c r="D43" s="21" t="s">
        <v>59</v>
      </c>
      <c r="E43" s="22"/>
      <c r="F43" s="22"/>
      <c r="G43" s="22"/>
      <c r="H43" s="22">
        <f>SUM(E43:G43)</f>
        <v>0</v>
      </c>
      <c r="I43" s="6" t="s">
        <v>82</v>
      </c>
    </row>
    <row r="44" spans="1:13" s="6" customFormat="1" ht="20.100000000000001" customHeight="1" x14ac:dyDescent="0.25">
      <c r="A44" s="37"/>
      <c r="B44" s="32" t="s">
        <v>29</v>
      </c>
      <c r="C44" s="32"/>
      <c r="D44" s="32"/>
      <c r="E44" s="23">
        <f>SUBTOTAL(9,E42:E43)</f>
        <v>0</v>
      </c>
      <c r="F44" s="23">
        <f>SUBTOTAL(9,F42:F43)</f>
        <v>0</v>
      </c>
      <c r="G44" s="23">
        <f>SUBTOTAL(9,G42:G43)</f>
        <v>0</v>
      </c>
      <c r="H44" s="23">
        <f>SUBTOTAL(9,H42:H43)</f>
        <v>0</v>
      </c>
    </row>
    <row r="45" spans="1:13" s="5" customFormat="1" ht="20.100000000000001" customHeight="1" x14ac:dyDescent="0.25">
      <c r="A45" s="14" t="s">
        <v>2</v>
      </c>
      <c r="B45" s="15" t="s">
        <v>3</v>
      </c>
      <c r="C45" s="15" t="s">
        <v>4</v>
      </c>
      <c r="D45" s="15" t="s">
        <v>5</v>
      </c>
      <c r="E45" s="16" t="s">
        <v>6</v>
      </c>
      <c r="F45" s="16" t="s">
        <v>7</v>
      </c>
      <c r="G45" s="16" t="s">
        <v>8</v>
      </c>
      <c r="H45" s="16" t="s">
        <v>9</v>
      </c>
      <c r="I45" s="6"/>
      <c r="J45" s="6"/>
      <c r="K45" s="6"/>
      <c r="L45" s="6"/>
      <c r="M45" s="6"/>
    </row>
    <row r="46" spans="1:13" s="6" customFormat="1" ht="20.100000000000001" customHeight="1" x14ac:dyDescent="0.25">
      <c r="A46" s="33" t="s">
        <v>84</v>
      </c>
      <c r="B46" s="25" t="s">
        <v>85</v>
      </c>
      <c r="C46" s="25" t="s">
        <v>86</v>
      </c>
      <c r="D46" s="18" t="s">
        <v>14</v>
      </c>
      <c r="E46" s="19"/>
      <c r="F46" s="19"/>
      <c r="G46" s="19"/>
      <c r="H46" s="19">
        <f t="shared" ref="H46:H51" si="2">SUM(E46:G46)</f>
        <v>0</v>
      </c>
      <c r="I46" s="6" t="s">
        <v>87</v>
      </c>
      <c r="K46" s="5"/>
      <c r="L46" s="5"/>
      <c r="M46" s="5"/>
    </row>
    <row r="47" spans="1:13" s="6" customFormat="1" ht="20.100000000000001" customHeight="1" x14ac:dyDescent="0.25">
      <c r="A47" s="33"/>
      <c r="B47" s="38" t="s">
        <v>88</v>
      </c>
      <c r="C47" s="30" t="s">
        <v>89</v>
      </c>
      <c r="D47" s="21" t="s">
        <v>90</v>
      </c>
      <c r="E47" s="22"/>
      <c r="F47" s="22"/>
      <c r="G47" s="22"/>
      <c r="H47" s="22">
        <f t="shared" si="2"/>
        <v>0</v>
      </c>
      <c r="I47" s="6" t="s">
        <v>91</v>
      </c>
    </row>
    <row r="48" spans="1:13" s="6" customFormat="1" ht="20.100000000000001" customHeight="1" x14ac:dyDescent="0.25">
      <c r="A48" s="33"/>
      <c r="B48" s="39"/>
      <c r="C48" s="31"/>
      <c r="D48" s="21" t="s">
        <v>92</v>
      </c>
      <c r="E48" s="22"/>
      <c r="F48" s="22"/>
      <c r="G48" s="22"/>
      <c r="H48" s="22">
        <f t="shared" si="2"/>
        <v>0</v>
      </c>
      <c r="I48" s="29" t="s">
        <v>253</v>
      </c>
    </row>
    <row r="49" spans="1:13" s="6" customFormat="1" ht="20.100000000000001" customHeight="1" x14ac:dyDescent="0.25">
      <c r="A49" s="33"/>
      <c r="B49" s="38" t="s">
        <v>88</v>
      </c>
      <c r="C49" s="30" t="s">
        <v>93</v>
      </c>
      <c r="D49" s="21" t="s">
        <v>90</v>
      </c>
      <c r="E49" s="22"/>
      <c r="F49" s="22"/>
      <c r="G49" s="22"/>
      <c r="H49" s="22">
        <f t="shared" si="2"/>
        <v>0</v>
      </c>
      <c r="I49" s="6" t="s">
        <v>91</v>
      </c>
    </row>
    <row r="50" spans="1:13" s="6" customFormat="1" ht="20.100000000000001" customHeight="1" x14ac:dyDescent="0.25">
      <c r="A50" s="33"/>
      <c r="B50" s="39"/>
      <c r="C50" s="31"/>
      <c r="D50" s="21" t="s">
        <v>92</v>
      </c>
      <c r="E50" s="22"/>
      <c r="F50" s="22"/>
      <c r="G50" s="22"/>
      <c r="H50" s="22">
        <f t="shared" si="2"/>
        <v>0</v>
      </c>
      <c r="I50" s="29" t="s">
        <v>253</v>
      </c>
    </row>
    <row r="51" spans="1:13" s="6" customFormat="1" ht="20.100000000000001" customHeight="1" x14ac:dyDescent="0.25">
      <c r="A51" s="33"/>
      <c r="B51" s="20" t="s">
        <v>94</v>
      </c>
      <c r="C51" s="20" t="s">
        <v>95</v>
      </c>
      <c r="D51" s="21" t="s">
        <v>59</v>
      </c>
      <c r="E51" s="22"/>
      <c r="F51" s="22"/>
      <c r="G51" s="22"/>
      <c r="H51" s="22">
        <f t="shared" si="2"/>
        <v>0</v>
      </c>
      <c r="I51" s="6" t="s">
        <v>96</v>
      </c>
    </row>
    <row r="52" spans="1:13" s="6" customFormat="1" ht="20.100000000000001" customHeight="1" x14ac:dyDescent="0.25">
      <c r="A52" s="33"/>
      <c r="B52" s="32" t="s">
        <v>29</v>
      </c>
      <c r="C52" s="32"/>
      <c r="D52" s="32"/>
      <c r="E52" s="23">
        <f>SUBTOTAL(9,E47:E51)</f>
        <v>0</v>
      </c>
      <c r="F52" s="23">
        <f>SUBTOTAL(9,F47:F51)</f>
        <v>0</v>
      </c>
      <c r="G52" s="23">
        <f>SUBTOTAL(9,G47:G51)</f>
        <v>0</v>
      </c>
      <c r="H52" s="23">
        <f>SUBTOTAL(9,H47:H51)</f>
        <v>0</v>
      </c>
    </row>
    <row r="53" spans="1:13" s="5" customFormat="1" ht="20.100000000000001" customHeight="1" x14ac:dyDescent="0.25">
      <c r="A53" s="14" t="s">
        <v>2</v>
      </c>
      <c r="B53" s="15" t="s">
        <v>3</v>
      </c>
      <c r="C53" s="15" t="s">
        <v>4</v>
      </c>
      <c r="D53" s="15" t="s">
        <v>5</v>
      </c>
      <c r="E53" s="16" t="s">
        <v>6</v>
      </c>
      <c r="F53" s="16" t="s">
        <v>7</v>
      </c>
      <c r="G53" s="16" t="s">
        <v>8</v>
      </c>
      <c r="H53" s="16" t="s">
        <v>9</v>
      </c>
      <c r="I53" s="6"/>
      <c r="J53" s="6"/>
      <c r="K53" s="6"/>
      <c r="L53" s="6"/>
      <c r="M53" s="6"/>
    </row>
    <row r="54" spans="1:13" s="6" customFormat="1" ht="20.100000000000001" customHeight="1" x14ac:dyDescent="0.25">
      <c r="A54" s="33" t="s">
        <v>97</v>
      </c>
      <c r="B54" s="25" t="s">
        <v>98</v>
      </c>
      <c r="C54" s="25" t="s">
        <v>99</v>
      </c>
      <c r="D54" s="18" t="s">
        <v>14</v>
      </c>
      <c r="E54" s="19"/>
      <c r="F54" s="19"/>
      <c r="G54" s="19"/>
      <c r="H54" s="19">
        <f>SUM(E54:G54)</f>
        <v>0</v>
      </c>
      <c r="I54" s="6" t="s">
        <v>87</v>
      </c>
      <c r="M54" s="5"/>
    </row>
    <row r="55" spans="1:13" s="6" customFormat="1" ht="20.100000000000001" customHeight="1" x14ac:dyDescent="0.25">
      <c r="A55" s="33"/>
      <c r="B55" s="20" t="s">
        <v>100</v>
      </c>
      <c r="C55" s="20" t="s">
        <v>101</v>
      </c>
      <c r="D55" s="21" t="s">
        <v>59</v>
      </c>
      <c r="E55" s="22"/>
      <c r="F55" s="22"/>
      <c r="G55" s="22"/>
      <c r="H55" s="22">
        <f>SUM(E55:G55)</f>
        <v>0</v>
      </c>
      <c r="I55" s="6" t="s">
        <v>96</v>
      </c>
      <c r="K55" s="5"/>
      <c r="L55" s="5"/>
    </row>
    <row r="56" spans="1:13" s="6" customFormat="1" ht="20.100000000000001" customHeight="1" x14ac:dyDescent="0.25">
      <c r="A56" s="33"/>
      <c r="B56" s="20" t="s">
        <v>100</v>
      </c>
      <c r="C56" s="20" t="s">
        <v>102</v>
      </c>
      <c r="D56" s="21" t="s">
        <v>59</v>
      </c>
      <c r="E56" s="22"/>
      <c r="F56" s="22"/>
      <c r="G56" s="22"/>
      <c r="H56" s="22">
        <f>SUM(E56:G56)</f>
        <v>0</v>
      </c>
      <c r="I56" s="6" t="s">
        <v>96</v>
      </c>
    </row>
    <row r="57" spans="1:13" s="6" customFormat="1" ht="20.100000000000001" customHeight="1" x14ac:dyDescent="0.25">
      <c r="A57" s="33"/>
      <c r="B57" s="32" t="s">
        <v>29</v>
      </c>
      <c r="C57" s="32"/>
      <c r="D57" s="32"/>
      <c r="E57" s="23">
        <f>SUBTOTAL(9,E55:E56)</f>
        <v>0</v>
      </c>
      <c r="F57" s="23">
        <f>SUBTOTAL(9,F55:F56)</f>
        <v>0</v>
      </c>
      <c r="G57" s="23">
        <f>SUBTOTAL(9,G55:G56)</f>
        <v>0</v>
      </c>
      <c r="H57" s="23">
        <f>SUBTOTAL(9,H55:H56)</f>
        <v>0</v>
      </c>
    </row>
    <row r="58" spans="1:13" s="5" customFormat="1" ht="20.100000000000001" customHeight="1" x14ac:dyDescent="0.25">
      <c r="A58" s="14" t="s">
        <v>2</v>
      </c>
      <c r="B58" s="15" t="s">
        <v>3</v>
      </c>
      <c r="C58" s="15" t="s">
        <v>4</v>
      </c>
      <c r="D58" s="15" t="s">
        <v>5</v>
      </c>
      <c r="E58" s="16" t="s">
        <v>6</v>
      </c>
      <c r="F58" s="16" t="s">
        <v>7</v>
      </c>
      <c r="G58" s="16" t="s">
        <v>8</v>
      </c>
      <c r="H58" s="16" t="s">
        <v>9</v>
      </c>
      <c r="I58" s="6"/>
      <c r="J58" s="6"/>
      <c r="K58" s="6"/>
      <c r="L58" s="6"/>
      <c r="M58" s="6"/>
    </row>
    <row r="59" spans="1:13" s="6" customFormat="1" ht="20.100000000000001" customHeight="1" x14ac:dyDescent="0.25">
      <c r="A59" s="33" t="s">
        <v>103</v>
      </c>
      <c r="B59" s="25" t="s">
        <v>88</v>
      </c>
      <c r="C59" s="25" t="s">
        <v>104</v>
      </c>
      <c r="D59" s="18" t="s">
        <v>14</v>
      </c>
      <c r="E59" s="19"/>
      <c r="F59" s="19"/>
      <c r="G59" s="19"/>
      <c r="H59" s="19">
        <f>SUM(E59:G59)</f>
        <v>0</v>
      </c>
      <c r="I59" s="6" t="s">
        <v>87</v>
      </c>
      <c r="M59" s="5"/>
    </row>
    <row r="60" spans="1:13" s="6" customFormat="1" ht="20.100000000000001" customHeight="1" x14ac:dyDescent="0.25">
      <c r="A60" s="33"/>
      <c r="B60" s="20" t="s">
        <v>88</v>
      </c>
      <c r="C60" s="20" t="s">
        <v>105</v>
      </c>
      <c r="D60" s="21" t="s">
        <v>59</v>
      </c>
      <c r="E60" s="22"/>
      <c r="F60" s="22"/>
      <c r="G60" s="22"/>
      <c r="H60" s="22">
        <f>SUM(E60:G60)</f>
        <v>0</v>
      </c>
      <c r="I60" s="6" t="s">
        <v>96</v>
      </c>
      <c r="K60" s="5"/>
      <c r="L60" s="5"/>
    </row>
    <row r="61" spans="1:13" s="6" customFormat="1" ht="20.100000000000001" customHeight="1" x14ac:dyDescent="0.25">
      <c r="A61" s="33"/>
      <c r="B61" s="32" t="s">
        <v>29</v>
      </c>
      <c r="C61" s="32"/>
      <c r="D61" s="32"/>
      <c r="E61" s="23">
        <f>SUBTOTAL(9,E60)</f>
        <v>0</v>
      </c>
      <c r="F61" s="23">
        <f>SUBTOTAL(9,F60)</f>
        <v>0</v>
      </c>
      <c r="G61" s="23">
        <f>SUBTOTAL(9,G60)</f>
        <v>0</v>
      </c>
      <c r="H61" s="23">
        <f>SUBTOTAL(9,H60)</f>
        <v>0</v>
      </c>
    </row>
    <row r="62" spans="1:13" ht="20.100000000000001" customHeight="1" x14ac:dyDescent="0.15">
      <c r="G62" s="19" t="s">
        <v>106</v>
      </c>
      <c r="H62" s="19">
        <f>H59+H46+H41+H25+H15+H3+H21+H54+H11</f>
        <v>0</v>
      </c>
      <c r="I62" s="6"/>
      <c r="J62" s="6"/>
      <c r="K62" s="6"/>
      <c r="L62" s="6"/>
      <c r="M62" s="6"/>
    </row>
    <row r="63" spans="1:13" ht="20.100000000000001" customHeight="1" x14ac:dyDescent="0.15">
      <c r="G63" s="19" t="s">
        <v>107</v>
      </c>
      <c r="H63" s="19">
        <f>H9+H19+H23+H39+H44+H52+H61+H57+H13</f>
        <v>0</v>
      </c>
      <c r="I63" s="6"/>
      <c r="J63" s="6"/>
      <c r="K63" s="6"/>
      <c r="L63" s="6"/>
    </row>
    <row r="64" spans="1:13" s="8" customFormat="1" ht="20.100000000000001" customHeight="1" x14ac:dyDescent="0.15">
      <c r="A64" s="10"/>
      <c r="B64" s="11"/>
      <c r="C64" s="11"/>
      <c r="D64" s="11"/>
      <c r="E64" s="11"/>
      <c r="F64" s="11"/>
      <c r="G64" s="26"/>
      <c r="H64" s="26"/>
      <c r="I64" s="6"/>
      <c r="J64" s="6"/>
      <c r="K64" s="11"/>
      <c r="L64" s="11"/>
      <c r="M64" s="11"/>
    </row>
    <row r="65" spans="1:13" s="9" customFormat="1" ht="51.6" customHeight="1" x14ac:dyDescent="0.3">
      <c r="A65" s="27" t="s">
        <v>108</v>
      </c>
      <c r="B65" s="28"/>
      <c r="C65" s="28"/>
      <c r="D65" s="28"/>
      <c r="E65" s="28"/>
      <c r="F65" s="28"/>
      <c r="G65" s="28"/>
      <c r="H65" s="28"/>
      <c r="I65" s="6"/>
      <c r="J65" s="6"/>
      <c r="K65" s="11"/>
      <c r="L65" s="11"/>
      <c r="M65" s="8"/>
    </row>
    <row r="66" spans="1:13" ht="14.45" customHeight="1" x14ac:dyDescent="0.3">
      <c r="I66" s="6"/>
      <c r="J66" s="6"/>
      <c r="K66" s="8"/>
      <c r="L66" s="8"/>
      <c r="M66" s="9"/>
    </row>
    <row r="67" spans="1:13" ht="14.45" customHeight="1" x14ac:dyDescent="0.3">
      <c r="I67" s="6"/>
      <c r="J67" s="6"/>
      <c r="K67" s="9"/>
      <c r="L67" s="9"/>
    </row>
  </sheetData>
  <autoFilter ref="A2:J67" xr:uid="{00000000-0009-0000-0000-000000000000}"/>
  <mergeCells count="22">
    <mergeCell ref="B9:D9"/>
    <mergeCell ref="B13:D13"/>
    <mergeCell ref="B19:D19"/>
    <mergeCell ref="B23:D23"/>
    <mergeCell ref="B39:D39"/>
    <mergeCell ref="A41:A44"/>
    <mergeCell ref="A46:A52"/>
    <mergeCell ref="A54:A57"/>
    <mergeCell ref="A59:A61"/>
    <mergeCell ref="B47:B48"/>
    <mergeCell ref="B49:B50"/>
    <mergeCell ref="A3:A9"/>
    <mergeCell ref="A11:A13"/>
    <mergeCell ref="A15:A19"/>
    <mergeCell ref="A21:A23"/>
    <mergeCell ref="A25:A39"/>
    <mergeCell ref="C49:C50"/>
    <mergeCell ref="B44:D44"/>
    <mergeCell ref="B52:D52"/>
    <mergeCell ref="B57:D57"/>
    <mergeCell ref="B61:D61"/>
    <mergeCell ref="C47:C48"/>
  </mergeCells>
  <phoneticPr fontId="15" type="noConversion"/>
  <pageMargins left="0.25" right="0.25" top="0.75" bottom="0.75" header="0.29861111111111099" footer="0.29861111111111099"/>
  <pageSetup paperSize="9" scale="6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selection activeCell="E35" sqref="E35"/>
    </sheetView>
  </sheetViews>
  <sheetFormatPr defaultColWidth="7.375" defaultRowHeight="14.25" x14ac:dyDescent="0.25"/>
  <cols>
    <col min="1" max="4" width="19.125" style="1" customWidth="1"/>
    <col min="5" max="5" width="31.625" style="1" customWidth="1"/>
    <col min="6" max="9" width="19.125" style="1" customWidth="1"/>
    <col min="10" max="16384" width="7.375" style="1"/>
  </cols>
  <sheetData>
    <row r="1" spans="1:9" ht="30" customHeight="1" x14ac:dyDescent="0.25">
      <c r="A1" s="2" t="s">
        <v>4</v>
      </c>
      <c r="B1" s="2" t="s">
        <v>109</v>
      </c>
      <c r="C1" s="2" t="s">
        <v>110</v>
      </c>
      <c r="D1" s="2" t="s">
        <v>111</v>
      </c>
      <c r="E1" s="2" t="s">
        <v>2</v>
      </c>
      <c r="F1" s="2" t="s">
        <v>112</v>
      </c>
      <c r="G1" s="2" t="s">
        <v>113</v>
      </c>
      <c r="H1" s="2" t="s">
        <v>114</v>
      </c>
      <c r="I1" s="2" t="s">
        <v>115</v>
      </c>
    </row>
    <row r="2" spans="1:9" ht="20.100000000000001" customHeight="1" x14ac:dyDescent="0.2">
      <c r="A2" s="3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122</v>
      </c>
      <c r="H2" s="4">
        <v>46286</v>
      </c>
      <c r="I2" s="3"/>
    </row>
    <row r="3" spans="1:9" ht="20.100000000000001" customHeight="1" x14ac:dyDescent="0.2">
      <c r="A3" s="3" t="s">
        <v>123</v>
      </c>
      <c r="B3" s="3" t="s">
        <v>124</v>
      </c>
      <c r="C3" s="3" t="s">
        <v>118</v>
      </c>
      <c r="D3" s="3" t="s">
        <v>119</v>
      </c>
      <c r="E3" s="3" t="s">
        <v>125</v>
      </c>
      <c r="F3" s="3" t="s">
        <v>126</v>
      </c>
      <c r="G3" s="3" t="s">
        <v>127</v>
      </c>
      <c r="H3" s="4">
        <v>46220</v>
      </c>
      <c r="I3" s="3"/>
    </row>
    <row r="4" spans="1:9" ht="20.100000000000001" customHeight="1" x14ac:dyDescent="0.2">
      <c r="A4" s="3" t="s">
        <v>128</v>
      </c>
      <c r="B4" s="3" t="s">
        <v>129</v>
      </c>
      <c r="C4" s="3" t="s">
        <v>118</v>
      </c>
      <c r="D4" s="3" t="s">
        <v>119</v>
      </c>
      <c r="E4" s="3" t="s">
        <v>130</v>
      </c>
      <c r="F4" s="3" t="s">
        <v>131</v>
      </c>
      <c r="G4" s="3" t="s">
        <v>132</v>
      </c>
      <c r="H4" s="4">
        <v>46212</v>
      </c>
      <c r="I4" s="3"/>
    </row>
    <row r="5" spans="1:9" ht="20.100000000000001" customHeight="1" x14ac:dyDescent="0.2">
      <c r="A5" s="3" t="s">
        <v>133</v>
      </c>
      <c r="B5" s="3" t="s">
        <v>134</v>
      </c>
      <c r="C5" s="3" t="s">
        <v>118</v>
      </c>
      <c r="D5" s="3" t="s">
        <v>119</v>
      </c>
      <c r="E5" s="3" t="s">
        <v>120</v>
      </c>
      <c r="F5" s="3" t="s">
        <v>135</v>
      </c>
      <c r="G5" s="3" t="s">
        <v>132</v>
      </c>
      <c r="H5" s="4">
        <v>46132</v>
      </c>
      <c r="I5" s="3"/>
    </row>
    <row r="6" spans="1:9" ht="20.100000000000001" customHeight="1" x14ac:dyDescent="0.2">
      <c r="A6" s="3" t="s">
        <v>136</v>
      </c>
      <c r="B6" s="3" t="s">
        <v>137</v>
      </c>
      <c r="C6" s="3" t="s">
        <v>118</v>
      </c>
      <c r="D6" s="3" t="s">
        <v>119</v>
      </c>
      <c r="E6" s="3" t="s">
        <v>138</v>
      </c>
      <c r="F6" s="3" t="s">
        <v>139</v>
      </c>
      <c r="G6" s="3" t="s">
        <v>122</v>
      </c>
      <c r="H6" s="4">
        <v>46119</v>
      </c>
      <c r="I6" s="3"/>
    </row>
    <row r="7" spans="1:9" ht="20.100000000000001" customHeight="1" x14ac:dyDescent="0.2">
      <c r="A7" s="3" t="s">
        <v>140</v>
      </c>
      <c r="B7" s="3" t="s">
        <v>141</v>
      </c>
      <c r="C7" s="3" t="s">
        <v>118</v>
      </c>
      <c r="D7" s="3" t="s">
        <v>119</v>
      </c>
      <c r="E7" s="3" t="s">
        <v>142</v>
      </c>
      <c r="F7" s="3" t="s">
        <v>143</v>
      </c>
      <c r="G7" s="3" t="s">
        <v>144</v>
      </c>
      <c r="H7" s="4">
        <v>46111</v>
      </c>
      <c r="I7" s="3"/>
    </row>
    <row r="8" spans="1:9" ht="20.100000000000001" customHeight="1" x14ac:dyDescent="0.2">
      <c r="A8" s="3" t="s">
        <v>145</v>
      </c>
      <c r="B8" s="3" t="s">
        <v>146</v>
      </c>
      <c r="C8" s="3" t="s">
        <v>118</v>
      </c>
      <c r="D8" s="3" t="s">
        <v>119</v>
      </c>
      <c r="E8" s="3" t="s">
        <v>142</v>
      </c>
      <c r="F8" s="3" t="s">
        <v>147</v>
      </c>
      <c r="G8" s="3" t="s">
        <v>127</v>
      </c>
      <c r="H8" s="4">
        <v>46111</v>
      </c>
      <c r="I8" s="3"/>
    </row>
    <row r="9" spans="1:9" ht="20.100000000000001" customHeight="1" x14ac:dyDescent="0.2">
      <c r="A9" s="3" t="s">
        <v>148</v>
      </c>
      <c r="B9" s="3" t="s">
        <v>149</v>
      </c>
      <c r="C9" s="3" t="s">
        <v>118</v>
      </c>
      <c r="D9" s="3" t="s">
        <v>119</v>
      </c>
      <c r="E9" s="3" t="s">
        <v>138</v>
      </c>
      <c r="F9" s="3" t="s">
        <v>139</v>
      </c>
      <c r="G9" s="3" t="s">
        <v>150</v>
      </c>
      <c r="H9" s="4">
        <v>46013</v>
      </c>
      <c r="I9" s="3"/>
    </row>
    <row r="10" spans="1:9" ht="20.100000000000001" customHeight="1" x14ac:dyDescent="0.2">
      <c r="A10" s="3" t="s">
        <v>151</v>
      </c>
      <c r="B10" s="3" t="s">
        <v>152</v>
      </c>
      <c r="C10" s="3" t="s">
        <v>118</v>
      </c>
      <c r="D10" s="3" t="s">
        <v>119</v>
      </c>
      <c r="E10" s="3" t="s">
        <v>153</v>
      </c>
      <c r="F10" s="3" t="s">
        <v>154</v>
      </c>
      <c r="G10" s="3" t="s">
        <v>127</v>
      </c>
      <c r="H10" s="4">
        <v>46006</v>
      </c>
      <c r="I10" s="3"/>
    </row>
    <row r="11" spans="1:9" ht="20.100000000000001" customHeight="1" x14ac:dyDescent="0.2">
      <c r="A11" s="3" t="s">
        <v>155</v>
      </c>
      <c r="B11" s="3" t="s">
        <v>156</v>
      </c>
      <c r="C11" s="3" t="s">
        <v>118</v>
      </c>
      <c r="D11" s="3" t="s">
        <v>119</v>
      </c>
      <c r="E11" s="3" t="s">
        <v>157</v>
      </c>
      <c r="F11" s="3" t="s">
        <v>158</v>
      </c>
      <c r="G11" s="3" t="s">
        <v>122</v>
      </c>
      <c r="H11" s="4">
        <v>45945</v>
      </c>
      <c r="I11" s="3"/>
    </row>
    <row r="12" spans="1:9" ht="20.100000000000001" customHeight="1" x14ac:dyDescent="0.2">
      <c r="A12" s="3" t="s">
        <v>159</v>
      </c>
      <c r="B12" s="3" t="s">
        <v>160</v>
      </c>
      <c r="C12" s="3" t="s">
        <v>118</v>
      </c>
      <c r="D12" s="3" t="s">
        <v>119</v>
      </c>
      <c r="E12" s="3" t="s">
        <v>157</v>
      </c>
      <c r="F12" s="3" t="s">
        <v>161</v>
      </c>
      <c r="G12" s="3" t="s">
        <v>127</v>
      </c>
      <c r="H12" s="4">
        <v>45943</v>
      </c>
      <c r="I12" s="3"/>
    </row>
    <row r="13" spans="1:9" ht="20.100000000000001" customHeight="1" x14ac:dyDescent="0.2">
      <c r="A13" s="3" t="s">
        <v>162</v>
      </c>
      <c r="B13" s="3" t="s">
        <v>163</v>
      </c>
      <c r="C13" s="3" t="s">
        <v>118</v>
      </c>
      <c r="D13" s="3" t="s">
        <v>119</v>
      </c>
      <c r="E13" s="3" t="s">
        <v>125</v>
      </c>
      <c r="F13" s="3" t="s">
        <v>164</v>
      </c>
      <c r="G13" s="3" t="s">
        <v>127</v>
      </c>
      <c r="H13" s="4">
        <v>45812</v>
      </c>
      <c r="I13" s="3"/>
    </row>
    <row r="14" spans="1:9" ht="20.100000000000001" customHeight="1" x14ac:dyDescent="0.2">
      <c r="A14" s="3" t="s">
        <v>165</v>
      </c>
      <c r="B14" s="3" t="s">
        <v>166</v>
      </c>
      <c r="C14" s="3" t="s">
        <v>118</v>
      </c>
      <c r="D14" s="3" t="s">
        <v>119</v>
      </c>
      <c r="E14" s="3" t="s">
        <v>167</v>
      </c>
      <c r="F14" s="3" t="s">
        <v>168</v>
      </c>
      <c r="G14" s="3" t="s">
        <v>122</v>
      </c>
      <c r="H14" s="4">
        <v>45749</v>
      </c>
      <c r="I14" s="3"/>
    </row>
    <row r="15" spans="1:9" ht="20.100000000000001" customHeight="1" x14ac:dyDescent="0.2">
      <c r="A15" s="3" t="s">
        <v>169</v>
      </c>
      <c r="B15" s="3" t="s">
        <v>170</v>
      </c>
      <c r="C15" s="3" t="s">
        <v>118</v>
      </c>
      <c r="D15" s="3" t="s">
        <v>119</v>
      </c>
      <c r="E15" s="3" t="s">
        <v>171</v>
      </c>
      <c r="F15" s="3" t="s">
        <v>172</v>
      </c>
      <c r="G15" s="3" t="s">
        <v>127</v>
      </c>
      <c r="H15" s="4">
        <v>45722</v>
      </c>
      <c r="I15" s="3"/>
    </row>
    <row r="16" spans="1:9" ht="20.100000000000001" customHeight="1" x14ac:dyDescent="0.2">
      <c r="A16" s="3" t="s">
        <v>173</v>
      </c>
      <c r="B16" s="3" t="s">
        <v>174</v>
      </c>
      <c r="C16" s="3" t="s">
        <v>118</v>
      </c>
      <c r="D16" s="3" t="s">
        <v>119</v>
      </c>
      <c r="E16" s="3" t="s">
        <v>130</v>
      </c>
      <c r="F16" s="3" t="s">
        <v>175</v>
      </c>
      <c r="G16" s="3" t="s">
        <v>127</v>
      </c>
      <c r="H16" s="4">
        <v>45670</v>
      </c>
      <c r="I16" s="3"/>
    </row>
    <row r="17" spans="1:9" ht="20.100000000000001" customHeight="1" x14ac:dyDescent="0.2">
      <c r="A17" s="3" t="s">
        <v>176</v>
      </c>
      <c r="B17" s="3" t="s">
        <v>177</v>
      </c>
      <c r="C17" s="3" t="s">
        <v>118</v>
      </c>
      <c r="D17" s="3" t="s">
        <v>119</v>
      </c>
      <c r="E17" s="3" t="s">
        <v>157</v>
      </c>
      <c r="F17" s="3" t="s">
        <v>178</v>
      </c>
      <c r="G17" s="3" t="s">
        <v>122</v>
      </c>
      <c r="H17" s="4">
        <v>45545</v>
      </c>
      <c r="I17" s="3"/>
    </row>
    <row r="18" spans="1:9" ht="20.100000000000001" customHeight="1" x14ac:dyDescent="0.2">
      <c r="A18" s="3" t="s">
        <v>179</v>
      </c>
      <c r="B18" s="3" t="s">
        <v>180</v>
      </c>
      <c r="C18" s="3" t="s">
        <v>118</v>
      </c>
      <c r="D18" s="3" t="s">
        <v>119</v>
      </c>
      <c r="E18" s="3" t="s">
        <v>120</v>
      </c>
      <c r="F18" s="3" t="s">
        <v>181</v>
      </c>
      <c r="G18" s="3" t="s">
        <v>127</v>
      </c>
      <c r="H18" s="4">
        <v>45491</v>
      </c>
      <c r="I18" s="3"/>
    </row>
    <row r="19" spans="1:9" ht="20.100000000000001" customHeight="1" x14ac:dyDescent="0.2">
      <c r="A19" s="3" t="s">
        <v>182</v>
      </c>
      <c r="B19" s="3" t="s">
        <v>183</v>
      </c>
      <c r="C19" s="3" t="s">
        <v>118</v>
      </c>
      <c r="D19" s="3" t="s">
        <v>119</v>
      </c>
      <c r="E19" s="3" t="s">
        <v>171</v>
      </c>
      <c r="F19" s="3" t="s">
        <v>184</v>
      </c>
      <c r="G19" s="3" t="s">
        <v>127</v>
      </c>
      <c r="H19" s="4">
        <v>45449</v>
      </c>
      <c r="I19" s="3"/>
    </row>
    <row r="20" spans="1:9" ht="20.100000000000001" customHeight="1" x14ac:dyDescent="0.2">
      <c r="A20" s="3" t="s">
        <v>185</v>
      </c>
      <c r="B20" s="3" t="s">
        <v>186</v>
      </c>
      <c r="C20" s="3" t="s">
        <v>118</v>
      </c>
      <c r="D20" s="3" t="s">
        <v>119</v>
      </c>
      <c r="E20" s="3" t="s">
        <v>187</v>
      </c>
      <c r="F20" s="3" t="s">
        <v>188</v>
      </c>
      <c r="G20" s="3" t="s">
        <v>127</v>
      </c>
      <c r="H20" s="4">
        <v>45432</v>
      </c>
      <c r="I20" s="3"/>
    </row>
    <row r="21" spans="1:9" ht="20.100000000000001" customHeight="1" x14ac:dyDescent="0.2">
      <c r="A21" s="3" t="s">
        <v>189</v>
      </c>
      <c r="B21" s="3" t="s">
        <v>190</v>
      </c>
      <c r="C21" s="3" t="s">
        <v>118</v>
      </c>
      <c r="D21" s="3" t="s">
        <v>119</v>
      </c>
      <c r="E21" s="3" t="s">
        <v>125</v>
      </c>
      <c r="F21" s="3" t="s">
        <v>191</v>
      </c>
      <c r="G21" s="3" t="s">
        <v>127</v>
      </c>
      <c r="H21" s="4">
        <v>45383</v>
      </c>
      <c r="I21" s="3"/>
    </row>
    <row r="22" spans="1:9" ht="20.100000000000001" customHeight="1" x14ac:dyDescent="0.2">
      <c r="A22" s="3" t="s">
        <v>192</v>
      </c>
      <c r="B22" s="3" t="s">
        <v>193</v>
      </c>
      <c r="C22" s="3" t="s">
        <v>118</v>
      </c>
      <c r="D22" s="3" t="s">
        <v>119</v>
      </c>
      <c r="E22" s="3" t="s">
        <v>125</v>
      </c>
      <c r="F22" s="3" t="s">
        <v>194</v>
      </c>
      <c r="G22" s="3" t="s">
        <v>127</v>
      </c>
      <c r="H22" s="4">
        <v>45376</v>
      </c>
      <c r="I22" s="3"/>
    </row>
    <row r="23" spans="1:9" ht="20.100000000000001" customHeight="1" x14ac:dyDescent="0.2">
      <c r="A23" s="3" t="s">
        <v>195</v>
      </c>
      <c r="B23" s="3" t="s">
        <v>196</v>
      </c>
      <c r="C23" s="3" t="s">
        <v>118</v>
      </c>
      <c r="D23" s="3" t="s">
        <v>119</v>
      </c>
      <c r="E23" s="3" t="s">
        <v>125</v>
      </c>
      <c r="F23" s="3" t="s">
        <v>197</v>
      </c>
      <c r="G23" s="3" t="s">
        <v>127</v>
      </c>
      <c r="H23" s="4">
        <v>45370</v>
      </c>
      <c r="I23" s="3"/>
    </row>
    <row r="24" spans="1:9" ht="20.100000000000001" customHeight="1" x14ac:dyDescent="0.2">
      <c r="A24" s="3" t="s">
        <v>198</v>
      </c>
      <c r="B24" s="3" t="s">
        <v>199</v>
      </c>
      <c r="C24" s="3" t="s">
        <v>118</v>
      </c>
      <c r="D24" s="3" t="s">
        <v>119</v>
      </c>
      <c r="E24" s="3" t="s">
        <v>200</v>
      </c>
      <c r="F24" s="3" t="s">
        <v>201</v>
      </c>
      <c r="G24" s="3" t="s">
        <v>127</v>
      </c>
      <c r="H24" s="4">
        <v>45363</v>
      </c>
      <c r="I24" s="3"/>
    </row>
    <row r="25" spans="1:9" ht="20.100000000000001" customHeight="1" x14ac:dyDescent="0.2">
      <c r="A25" s="3" t="s">
        <v>202</v>
      </c>
      <c r="B25" s="3" t="s">
        <v>203</v>
      </c>
      <c r="C25" s="3" t="s">
        <v>118</v>
      </c>
      <c r="D25" s="3" t="s">
        <v>119</v>
      </c>
      <c r="E25" s="3" t="s">
        <v>157</v>
      </c>
      <c r="F25" s="3" t="s">
        <v>204</v>
      </c>
      <c r="G25" s="3" t="s">
        <v>122</v>
      </c>
      <c r="H25" s="4">
        <v>45352</v>
      </c>
      <c r="I25" s="3"/>
    </row>
    <row r="26" spans="1:9" ht="20.100000000000001" customHeight="1" x14ac:dyDescent="0.2">
      <c r="A26" s="3" t="s">
        <v>205</v>
      </c>
      <c r="B26" s="3" t="s">
        <v>206</v>
      </c>
      <c r="C26" s="3" t="s">
        <v>118</v>
      </c>
      <c r="D26" s="3" t="s">
        <v>119</v>
      </c>
      <c r="E26" s="3" t="s">
        <v>200</v>
      </c>
      <c r="F26" s="3" t="s">
        <v>207</v>
      </c>
      <c r="G26" s="3" t="s">
        <v>127</v>
      </c>
      <c r="H26" s="4">
        <v>45293</v>
      </c>
      <c r="I26" s="3"/>
    </row>
    <row r="27" spans="1:9" ht="20.100000000000001" customHeight="1" x14ac:dyDescent="0.2">
      <c r="A27" s="3" t="s">
        <v>208</v>
      </c>
      <c r="B27" s="3" t="s">
        <v>209</v>
      </c>
      <c r="C27" s="3" t="s">
        <v>118</v>
      </c>
      <c r="D27" s="3" t="s">
        <v>119</v>
      </c>
      <c r="E27" s="3" t="s">
        <v>210</v>
      </c>
      <c r="F27" s="3" t="s">
        <v>211</v>
      </c>
      <c r="G27" s="3" t="s">
        <v>122</v>
      </c>
      <c r="H27" s="4">
        <v>45173</v>
      </c>
      <c r="I27" s="3"/>
    </row>
    <row r="28" spans="1:9" ht="20.100000000000001" customHeight="1" x14ac:dyDescent="0.2">
      <c r="A28" s="3" t="s">
        <v>212</v>
      </c>
      <c r="B28" s="3" t="s">
        <v>213</v>
      </c>
      <c r="C28" s="3" t="s">
        <v>118</v>
      </c>
      <c r="D28" s="3" t="s">
        <v>119</v>
      </c>
      <c r="E28" s="3" t="s">
        <v>142</v>
      </c>
      <c r="F28" s="3" t="s">
        <v>214</v>
      </c>
      <c r="G28" s="3" t="s">
        <v>132</v>
      </c>
      <c r="H28" s="4">
        <v>45161</v>
      </c>
      <c r="I28" s="3"/>
    </row>
    <row r="29" spans="1:9" ht="20.100000000000001" customHeight="1" x14ac:dyDescent="0.2">
      <c r="A29" s="3" t="s">
        <v>215</v>
      </c>
      <c r="B29" s="3" t="s">
        <v>216</v>
      </c>
      <c r="C29" s="3" t="s">
        <v>118</v>
      </c>
      <c r="D29" s="3" t="s">
        <v>119</v>
      </c>
      <c r="E29" s="3" t="s">
        <v>157</v>
      </c>
      <c r="F29" s="3" t="s">
        <v>178</v>
      </c>
      <c r="G29" s="3" t="s">
        <v>122</v>
      </c>
      <c r="H29" s="4">
        <v>45104</v>
      </c>
      <c r="I29" s="3"/>
    </row>
    <row r="30" spans="1:9" ht="20.100000000000001" customHeight="1" x14ac:dyDescent="0.2">
      <c r="A30" s="3" t="s">
        <v>217</v>
      </c>
      <c r="B30" s="3" t="s">
        <v>218</v>
      </c>
      <c r="C30" s="3" t="s">
        <v>118</v>
      </c>
      <c r="D30" s="3" t="s">
        <v>119</v>
      </c>
      <c r="E30" s="3" t="s">
        <v>200</v>
      </c>
      <c r="F30" s="3" t="s">
        <v>219</v>
      </c>
      <c r="G30" s="3" t="s">
        <v>122</v>
      </c>
      <c r="H30" s="4">
        <v>45068</v>
      </c>
      <c r="I30" s="3"/>
    </row>
    <row r="31" spans="1:9" ht="20.100000000000001" customHeight="1" x14ac:dyDescent="0.2">
      <c r="A31" s="3" t="s">
        <v>220</v>
      </c>
      <c r="B31" s="3" t="s">
        <v>221</v>
      </c>
      <c r="C31" s="3" t="s">
        <v>118</v>
      </c>
      <c r="D31" s="3" t="s">
        <v>119</v>
      </c>
      <c r="E31" s="3" t="s">
        <v>157</v>
      </c>
      <c r="F31" s="3" t="s">
        <v>204</v>
      </c>
      <c r="G31" s="3" t="s">
        <v>122</v>
      </c>
      <c r="H31" s="4">
        <v>45035</v>
      </c>
      <c r="I31" s="3"/>
    </row>
    <row r="32" spans="1:9" ht="20.100000000000001" customHeight="1" x14ac:dyDescent="0.2">
      <c r="A32" s="3" t="s">
        <v>222</v>
      </c>
      <c r="B32" s="3" t="s">
        <v>223</v>
      </c>
      <c r="C32" s="3" t="s">
        <v>118</v>
      </c>
      <c r="D32" s="3" t="s">
        <v>119</v>
      </c>
      <c r="E32" s="3" t="s">
        <v>224</v>
      </c>
      <c r="F32" s="3" t="s">
        <v>225</v>
      </c>
      <c r="G32" s="3" t="s">
        <v>127</v>
      </c>
      <c r="H32" s="4">
        <v>45005</v>
      </c>
      <c r="I32" s="3"/>
    </row>
    <row r="33" spans="1:9" ht="20.100000000000001" customHeight="1" x14ac:dyDescent="0.2">
      <c r="A33" s="3" t="s">
        <v>226</v>
      </c>
      <c r="B33" s="3" t="s">
        <v>227</v>
      </c>
      <c r="C33" s="3" t="s">
        <v>118</v>
      </c>
      <c r="D33" s="3" t="s">
        <v>119</v>
      </c>
      <c r="E33" s="3" t="s">
        <v>142</v>
      </c>
      <c r="F33" s="3" t="s">
        <v>228</v>
      </c>
      <c r="G33" s="3" t="s">
        <v>127</v>
      </c>
      <c r="H33" s="4">
        <v>44998</v>
      </c>
      <c r="I33" s="3"/>
    </row>
    <row r="34" spans="1:9" ht="20.100000000000001" customHeight="1" x14ac:dyDescent="0.2">
      <c r="A34" s="3" t="s">
        <v>229</v>
      </c>
      <c r="B34" s="3" t="s">
        <v>230</v>
      </c>
      <c r="C34" s="3" t="s">
        <v>118</v>
      </c>
      <c r="D34" s="3" t="s">
        <v>119</v>
      </c>
      <c r="E34" s="3" t="s">
        <v>231</v>
      </c>
      <c r="F34" s="3" t="s">
        <v>232</v>
      </c>
      <c r="G34" s="3" t="s">
        <v>127</v>
      </c>
      <c r="H34" s="4">
        <v>44971</v>
      </c>
      <c r="I34" s="3"/>
    </row>
    <row r="35" spans="1:9" ht="20.100000000000001" customHeight="1" x14ac:dyDescent="0.2">
      <c r="A35" s="3" t="s">
        <v>233</v>
      </c>
      <c r="B35" s="3" t="s">
        <v>234</v>
      </c>
      <c r="C35" s="3" t="s">
        <v>118</v>
      </c>
      <c r="D35" s="3" t="s">
        <v>119</v>
      </c>
      <c r="E35" s="3" t="s">
        <v>142</v>
      </c>
      <c r="F35" s="3" t="s">
        <v>235</v>
      </c>
      <c r="G35" s="3" t="s">
        <v>122</v>
      </c>
      <c r="H35" s="4">
        <v>44900</v>
      </c>
      <c r="I35" s="3"/>
    </row>
    <row r="36" spans="1:9" ht="20.100000000000001" customHeight="1" x14ac:dyDescent="0.2">
      <c r="A36" s="3" t="s">
        <v>236</v>
      </c>
      <c r="B36" s="3" t="s">
        <v>237</v>
      </c>
      <c r="C36" s="3" t="s">
        <v>118</v>
      </c>
      <c r="D36" s="3" t="s">
        <v>119</v>
      </c>
      <c r="E36" s="3" t="s">
        <v>157</v>
      </c>
      <c r="F36" s="3" t="s">
        <v>178</v>
      </c>
      <c r="G36" s="3" t="s">
        <v>122</v>
      </c>
      <c r="H36" s="4">
        <v>44894</v>
      </c>
      <c r="I36" s="3"/>
    </row>
    <row r="37" spans="1:9" ht="20.100000000000001" customHeight="1" x14ac:dyDescent="0.2">
      <c r="A37" s="3" t="s">
        <v>238</v>
      </c>
      <c r="B37" s="3" t="s">
        <v>239</v>
      </c>
      <c r="C37" s="3" t="s">
        <v>118</v>
      </c>
      <c r="D37" s="3" t="s">
        <v>119</v>
      </c>
      <c r="E37" s="3" t="s">
        <v>157</v>
      </c>
      <c r="F37" s="3" t="s">
        <v>240</v>
      </c>
      <c r="G37" s="3" t="s">
        <v>150</v>
      </c>
      <c r="H37" s="4">
        <v>44832</v>
      </c>
      <c r="I37" s="3"/>
    </row>
    <row r="38" spans="1:9" ht="20.100000000000001" customHeight="1" x14ac:dyDescent="0.2">
      <c r="A38" s="3" t="s">
        <v>241</v>
      </c>
      <c r="B38" s="3" t="s">
        <v>242</v>
      </c>
      <c r="C38" s="3" t="s">
        <v>118</v>
      </c>
      <c r="D38" s="3" t="s">
        <v>119</v>
      </c>
      <c r="E38" s="3" t="s">
        <v>157</v>
      </c>
      <c r="F38" s="3" t="s">
        <v>204</v>
      </c>
      <c r="G38" s="3" t="s">
        <v>122</v>
      </c>
      <c r="H38" s="4">
        <v>44789</v>
      </c>
      <c r="I38" s="3"/>
    </row>
    <row r="39" spans="1:9" ht="20.100000000000001" customHeight="1" x14ac:dyDescent="0.2">
      <c r="A39" s="3" t="s">
        <v>243</v>
      </c>
      <c r="B39" s="3" t="s">
        <v>244</v>
      </c>
      <c r="C39" s="3" t="s">
        <v>118</v>
      </c>
      <c r="D39" s="3" t="s">
        <v>119</v>
      </c>
      <c r="E39" s="3" t="s">
        <v>157</v>
      </c>
      <c r="F39" s="3" t="s">
        <v>204</v>
      </c>
      <c r="G39" s="3" t="s">
        <v>122</v>
      </c>
      <c r="H39" s="4">
        <v>44461</v>
      </c>
      <c r="I39" s="3"/>
    </row>
    <row r="40" spans="1:9" ht="20.100000000000001" customHeight="1" x14ac:dyDescent="0.2">
      <c r="A40" s="3" t="s">
        <v>245</v>
      </c>
      <c r="B40" s="3" t="s">
        <v>246</v>
      </c>
      <c r="C40" s="3" t="s">
        <v>118</v>
      </c>
      <c r="D40" s="3" t="s">
        <v>119</v>
      </c>
      <c r="E40" s="3" t="s">
        <v>157</v>
      </c>
      <c r="F40" s="3" t="s">
        <v>247</v>
      </c>
      <c r="G40" s="3" t="s">
        <v>127</v>
      </c>
      <c r="H40" s="4">
        <v>43678</v>
      </c>
      <c r="I40" s="3"/>
    </row>
    <row r="41" spans="1:9" ht="20.100000000000001" customHeight="1" x14ac:dyDescent="0.2">
      <c r="A41" s="3" t="s">
        <v>248</v>
      </c>
      <c r="B41" s="3" t="s">
        <v>249</v>
      </c>
      <c r="C41" s="3" t="s">
        <v>118</v>
      </c>
      <c r="D41" s="3" t="s">
        <v>119</v>
      </c>
      <c r="E41" s="3" t="s">
        <v>125</v>
      </c>
      <c r="F41" s="3" t="s">
        <v>250</v>
      </c>
      <c r="G41" s="3" t="s">
        <v>150</v>
      </c>
      <c r="H41" s="4">
        <v>43641</v>
      </c>
      <c r="I41" s="3"/>
    </row>
    <row r="42" spans="1:9" ht="20.100000000000001" customHeight="1" x14ac:dyDescent="0.2">
      <c r="A42" s="3" t="s">
        <v>251</v>
      </c>
      <c r="B42" s="3" t="s">
        <v>252</v>
      </c>
      <c r="C42" s="3" t="s">
        <v>118</v>
      </c>
      <c r="D42" s="3" t="s">
        <v>119</v>
      </c>
      <c r="E42" s="3" t="s">
        <v>157</v>
      </c>
      <c r="F42" s="3" t="s">
        <v>204</v>
      </c>
      <c r="G42" s="3" t="s">
        <v>122</v>
      </c>
      <c r="H42" s="4">
        <v>43617</v>
      </c>
      <c r="I42" s="3"/>
    </row>
  </sheetData>
  <autoFilter ref="A1:I42" xr:uid="{00000000-0009-0000-0000-000001000000}"/>
  <phoneticPr fontId="15" type="noConversion"/>
  <conditionalFormatting sqref="A1:A45 A5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各渠道拆解到岗位</vt:lpstr>
      <vt:lpstr>未放入GMV表中前台人员</vt:lpstr>
      <vt:lpstr>_FilterDatabase</vt:lpstr>
      <vt:lpstr>各渠道拆解到岗位!Print_Area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pd</cp:lastModifiedBy>
  <dcterms:created xsi:type="dcterms:W3CDTF">2006-09-16T00:00:00Z</dcterms:created>
  <dcterms:modified xsi:type="dcterms:W3CDTF">2026-10-23T04:14:20Z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BECC3D70BA124ED18CC3AC32CC3AD4AE_12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