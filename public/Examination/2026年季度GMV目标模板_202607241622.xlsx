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d\Downloads\FireShot\"/>
    </mc:Choice>
  </mc:AlternateContent>
  <xr:revisionPtr revIDLastSave="0" documentId="13_ncr:1_{84EC0976-E8AF-4182-AE4F-ED3950937957}" xr6:coauthVersionLast="47" xr6:coauthVersionMax="47" xr10:uidLastSave="{00000000-0000-0000-0000-000000000000}"/>
  <bookViews>
    <workbookView xWindow="-120" yWindow="-120" windowWidth="29040" windowHeight="15720" xr2:uid="{752BAC88-3D22-6345-9E5D-6A586CA68B77}"/>
  </bookViews>
  <sheets>
    <sheet name="各渠道拆解到岗位" sheetId="1" r:id="rId1"/>
  </sheets>
  <definedNames>
    <definedName name="_xlnm._FilterDatabase" localSheetId="0">各渠道拆解到岗位!$A$2:$J$56</definedName>
    <definedName name="_xlnm.Print_Area" localSheetId="0">各渠道拆解到岗位!$A$1:$H$54</definedName>
  </definedNames>
  <calcPr calcId="191029"/>
</workbook>
</file>

<file path=xl/calcChain.xml><?xml version="1.0" encoding="utf-8"?>
<calcChain xmlns="http://schemas.openxmlformats.org/spreadsheetml/2006/main">
  <c r="G50" i="1" l="1"/>
  <c r="F50" i="1"/>
  <c r="E50" i="1"/>
  <c r="H49" i="1"/>
  <c r="H50" i="1" s="1"/>
  <c r="H48" i="1"/>
  <c r="G46" i="1"/>
  <c r="F46" i="1"/>
  <c r="E46" i="1"/>
  <c r="H45" i="1"/>
  <c r="H44" i="1"/>
  <c r="H43" i="1"/>
  <c r="H42" i="1"/>
  <c r="G40" i="1"/>
  <c r="F40" i="1"/>
  <c r="E40" i="1"/>
  <c r="H39" i="1"/>
  <c r="H38" i="1"/>
  <c r="H37" i="1"/>
  <c r="H36" i="1"/>
  <c r="H35" i="1"/>
  <c r="H40" i="1" s="1"/>
  <c r="H34" i="1"/>
  <c r="G32" i="1"/>
  <c r="F32" i="1"/>
  <c r="E32" i="1"/>
  <c r="H31" i="1"/>
  <c r="H30" i="1"/>
  <c r="H32" i="1" s="1"/>
  <c r="H29" i="1"/>
  <c r="G27" i="1"/>
  <c r="F27" i="1"/>
  <c r="E27" i="1"/>
  <c r="H26" i="1"/>
  <c r="H25" i="1"/>
  <c r="H24" i="1"/>
  <c r="H23" i="1"/>
  <c r="H22" i="1"/>
  <c r="H21" i="1"/>
  <c r="H20" i="1"/>
  <c r="G18" i="1"/>
  <c r="F18" i="1"/>
  <c r="E18" i="1"/>
  <c r="H17" i="1"/>
  <c r="H18" i="1" s="1"/>
  <c r="H16" i="1"/>
  <c r="G14" i="1"/>
  <c r="F14" i="1"/>
  <c r="E14" i="1"/>
  <c r="H13" i="1"/>
  <c r="H12" i="1"/>
  <c r="H14" i="1" s="1"/>
  <c r="H11" i="1"/>
  <c r="G9" i="1"/>
  <c r="F9" i="1"/>
  <c r="E9" i="1"/>
  <c r="H8" i="1"/>
  <c r="H7" i="1"/>
  <c r="H6" i="1"/>
  <c r="H5" i="1"/>
  <c r="H4" i="1"/>
  <c r="H3" i="1"/>
  <c r="H46" i="1" l="1"/>
  <c r="H27" i="1"/>
  <c r="H9" i="1"/>
  <c r="H51" i="1"/>
  <c r="H52" i="1" l="1"/>
</calcChain>
</file>

<file path=xl/sharedStrings.xml><?xml version="1.0" encoding="utf-8"?>
<sst xmlns="http://schemas.openxmlformats.org/spreadsheetml/2006/main" count="214" uniqueCount="97">
  <si>
    <t>2026年度第三季度GMV目标确认</t>
  </si>
  <si>
    <t>公式，不要变动</t>
  </si>
  <si>
    <t>部门</t>
  </si>
  <si>
    <t>岗位</t>
  </si>
  <si>
    <t>姓名</t>
  </si>
  <si>
    <t>对应指标</t>
  </si>
  <si>
    <t>7月</t>
  </si>
  <si>
    <t>8月</t>
  </si>
  <si>
    <t>9月</t>
  </si>
  <si>
    <t>Q3合计</t>
  </si>
  <si>
    <t>天猫业务单元</t>
  </si>
  <si>
    <t>天淘电商经理</t>
  </si>
  <si>
    <t>渠道整体销售收入</t>
  </si>
  <si>
    <t>旗舰店运营店长</t>
  </si>
  <si>
    <t>所负责产品销售收入</t>
  </si>
  <si>
    <t>天猫旗舰店运营</t>
  </si>
  <si>
    <t>天猫运营</t>
  </si>
  <si>
    <t>所负责店铺直播销售收入</t>
  </si>
  <si>
    <t>主粮运营（烘焙）</t>
  </si>
  <si>
    <t>SMB&amp;咬胶运营</t>
  </si>
  <si>
    <t>小计：</t>
  </si>
  <si>
    <t>京东业务单元</t>
  </si>
  <si>
    <t>京东电商经理</t>
  </si>
  <si>
    <t>京东电商运营</t>
  </si>
  <si>
    <t>所负责店铺销售收入</t>
  </si>
  <si>
    <t>拼多多运营</t>
  </si>
  <si>
    <t>平台自营</t>
  </si>
  <si>
    <t>京东&amp;猫超</t>
  </si>
  <si>
    <t>闪购</t>
  </si>
  <si>
    <t>天猫超市销售收入</t>
  </si>
  <si>
    <t>抖音电商组</t>
  </si>
  <si>
    <t>抖音商务主管</t>
  </si>
  <si>
    <t>商务BD</t>
  </si>
  <si>
    <t>个人销售收入</t>
  </si>
  <si>
    <t>商务专员</t>
  </si>
  <si>
    <t>商品卡销售收入</t>
  </si>
  <si>
    <t>主播（全职）</t>
  </si>
  <si>
    <t>内容创作运营支持组</t>
  </si>
  <si>
    <t>内容电商经理</t>
  </si>
  <si>
    <t>短视频拍剪</t>
  </si>
  <si>
    <t>销售一组</t>
  </si>
  <si>
    <t>线下销售经理</t>
  </si>
  <si>
    <t>线下销售主管</t>
  </si>
  <si>
    <t>个人销售收入-经销商</t>
  </si>
  <si>
    <t>个人销售收入-即时达</t>
  </si>
  <si>
    <t>线下商务主管</t>
  </si>
  <si>
    <t>销售二组</t>
  </si>
  <si>
    <t>KA渠道总监</t>
  </si>
  <si>
    <t>线上分销主管</t>
  </si>
  <si>
    <t>销售三组</t>
  </si>
  <si>
    <t>公司目标：</t>
  </si>
  <si>
    <t>分目标加总：</t>
  </si>
  <si>
    <t>季度指标渠道负责人确认：（大树）                                         日期：</t>
  </si>
  <si>
    <t>范振吉</t>
    <phoneticPr fontId="1" type="noConversion"/>
  </si>
  <si>
    <t>潘磊</t>
    <phoneticPr fontId="1" type="noConversion"/>
  </si>
  <si>
    <t>夏立明</t>
    <phoneticPr fontId="1" type="noConversion"/>
  </si>
  <si>
    <t>王永蝶</t>
    <phoneticPr fontId="1" type="noConversion"/>
  </si>
  <si>
    <t>潘明旺</t>
    <phoneticPr fontId="1" type="noConversion"/>
  </si>
  <si>
    <t>缪欣瑶</t>
    <phoneticPr fontId="1" type="noConversion"/>
  </si>
  <si>
    <t>付阳</t>
    <phoneticPr fontId="1" type="noConversion"/>
  </si>
  <si>
    <t>马镇浪</t>
    <phoneticPr fontId="1" type="noConversion"/>
  </si>
  <si>
    <t>冯烨晖</t>
    <phoneticPr fontId="1" type="noConversion"/>
  </si>
  <si>
    <t>黄文豪</t>
    <phoneticPr fontId="1" type="noConversion"/>
  </si>
  <si>
    <t>孙舒欣</t>
    <phoneticPr fontId="1" type="noConversion"/>
  </si>
  <si>
    <t>梁钰</t>
    <phoneticPr fontId="1" type="noConversion"/>
  </si>
  <si>
    <t>杨嘉琪</t>
    <phoneticPr fontId="1" type="noConversion"/>
  </si>
  <si>
    <t>卢民</t>
    <phoneticPr fontId="1" type="noConversion"/>
  </si>
  <si>
    <t>刘静敏</t>
    <phoneticPr fontId="1" type="noConversion"/>
  </si>
  <si>
    <t>周智超</t>
    <phoneticPr fontId="1" type="noConversion"/>
  </si>
  <si>
    <t>乔黎</t>
    <phoneticPr fontId="1" type="noConversion"/>
  </si>
  <si>
    <t>郭恬希</t>
    <phoneticPr fontId="1" type="noConversion"/>
  </si>
  <si>
    <t>黄向前</t>
    <phoneticPr fontId="1" type="noConversion"/>
  </si>
  <si>
    <t>季节</t>
    <phoneticPr fontId="1" type="noConversion"/>
  </si>
  <si>
    <t>俞梦秋</t>
    <phoneticPr fontId="1" type="noConversion"/>
  </si>
  <si>
    <t>张震西</t>
    <phoneticPr fontId="1" type="noConversion"/>
  </si>
  <si>
    <t>刘海彬</t>
    <phoneticPr fontId="1" type="noConversion"/>
  </si>
  <si>
    <t>车勇超</t>
    <phoneticPr fontId="1" type="noConversion"/>
  </si>
  <si>
    <t>何昌和</t>
    <phoneticPr fontId="1" type="noConversion"/>
  </si>
  <si>
    <t>周环寰</t>
    <phoneticPr fontId="1" type="noConversion"/>
  </si>
  <si>
    <t>赵丹</t>
    <phoneticPr fontId="1" type="noConversion"/>
  </si>
  <si>
    <t>金雅崴</t>
    <phoneticPr fontId="1" type="noConversion"/>
  </si>
  <si>
    <t>唐蔚丽</t>
    <phoneticPr fontId="1" type="noConversion"/>
  </si>
  <si>
    <t>王小龙</t>
    <phoneticPr fontId="1" type="noConversion"/>
  </si>
  <si>
    <t>陈炎</t>
    <phoneticPr fontId="1" type="noConversion"/>
  </si>
  <si>
    <t>数据库对应指标名称</t>
    <phoneticPr fontId="1" type="noConversion"/>
  </si>
  <si>
    <t>累计销售收入（GMV）</t>
    <phoneticPr fontId="1" type="noConversion"/>
  </si>
  <si>
    <t>所负责产品累计销售收入</t>
    <phoneticPr fontId="1" type="noConversion"/>
  </si>
  <si>
    <t>所负责店铺直播销售收入</t>
    <phoneticPr fontId="1" type="noConversion"/>
  </si>
  <si>
    <t>负责店铺的销售收入</t>
    <phoneticPr fontId="1" type="noConversion"/>
  </si>
  <si>
    <t>天猫超市累计销售收入</t>
    <phoneticPr fontId="1" type="noConversion"/>
  </si>
  <si>
    <t>销售收入达成率（抖音）</t>
    <phoneticPr fontId="1" type="noConversion"/>
  </si>
  <si>
    <t>会员-商品卡销售收入达成率</t>
    <phoneticPr fontId="1" type="noConversion"/>
  </si>
  <si>
    <t>店铺GMV</t>
    <phoneticPr fontId="1" type="noConversion"/>
  </si>
  <si>
    <t>累计月销售(GMV)达成</t>
    <phoneticPr fontId="1" type="noConversion"/>
  </si>
  <si>
    <t>经销商</t>
    <phoneticPr fontId="1" type="noConversion"/>
  </si>
  <si>
    <t>及时达</t>
    <phoneticPr fontId="1" type="noConversion"/>
  </si>
  <si>
    <t>销售收入达成率（GMV)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</si>
</sst>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.0,&quot;万&quot;"/>
  </numFmts>
  <fonts count="1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000000"/>
      <name val="微软雅黑"/>
      <family val="3"/>
      <charset val="134"/>
    </font>
    <font>
      <sz val="9"/>
      <color rgb="FF00B0F0"/>
      <name val="微软雅黑"/>
      <family val="2"/>
      <charset val="134"/>
    </font>
    <font>
      <sz val="11"/>
      <color rgb="FF000000"/>
      <name val="宋体"/>
      <charset val="134"/>
    </font>
    <font>
      <sz val="8"/>
      <color rgb="FF000000"/>
      <name val="微软雅黑"/>
      <family val="2"/>
      <charset val="134"/>
    </font>
    <font>
      <b/>
      <sz val="24"/>
      <color rgb="FF000000"/>
      <name val="微软雅黑"/>
      <family val="2"/>
      <charset val="134"/>
    </font>
    <font>
      <sz val="11"/>
      <color rgb="FFFF0000"/>
      <name val="宋体"/>
      <charset val="134"/>
    </font>
    <font>
      <b/>
      <sz val="9"/>
      <color rgb="FF000000"/>
      <name val="微软雅黑"/>
      <family val="2"/>
      <charset val="134"/>
    </font>
    <font>
      <sz val="9"/>
      <color rgb="FF3F3F3F"/>
      <name val="微软雅黑"/>
      <family val="2"/>
      <charset val="134"/>
    </font>
    <font>
      <sz val="10"/>
      <color rgb="FF000000"/>
      <name val="等线"/>
      <charset val="134"/>
    </font>
    <font>
      <b/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3F4F1"/>
      </patternFill>
    </fill>
    <fill>
      <patternFill patternType="solid">
        <fgColor rgb="FFFEE595"/>
      </patternFill>
    </fill>
    <fill>
      <patternFill patternType="solid">
        <fgColor rgb="FFDAE3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left" wrapText="1"/>
    </xf>
    <xf numFmtId="0" fontId="4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2" fillId="4" borderId="1" xfId="0" applyFont="1" applyFill="1" applyBorder="1">
      <alignment vertical="center"/>
    </xf>
    <xf numFmtId="14" fontId="2" fillId="4" borderId="1" xfId="0" applyNumberFormat="1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176" fontId="8" fillId="4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76" fontId="2" fillId="0" borderId="0" xfId="0" applyNumberFormat="1" applyFont="1">
      <alignment vertical="center"/>
    </xf>
    <xf numFmtId="0" fontId="1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 codeName="Sheet1">
    <outlinePr summaryBelow="0" summaryRight="0"/>
  </sheetPr>
  <dimension ref="A1:AN56"/>
  <sheetViews>
    <sheetView showGridLines="0" tabSelected="1" workbookViewId="0">
      <pane xSplit="4" ySplit="2" topLeftCell="E3" activePane="bottomRight" state="frozen"/>
      <selection pane="topRight"/>
      <selection pane="bottomLeft"/>
      <selection pane="bottomRight" activeCell="M16" sqref="M16"/>
    </sheetView>
  </sheetViews>
  <sheetFormatPr defaultColWidth="9" defaultRowHeight="14.45" customHeight="1" outlineLevelCol="1" x14ac:dyDescent="0.15"/>
  <cols>
    <col min="1" max="1" width="18.875" style="5" customWidth="1"/>
    <col min="2" max="2" width="13.5" style="6" customWidth="1"/>
    <col min="3" max="3" width="13.375" style="6" customWidth="1"/>
    <col min="4" max="4" width="19.125" style="6" customWidth="1"/>
    <col min="5" max="7" width="16.125" style="6" customWidth="1" outlineLevel="1"/>
    <col min="8" max="8" width="12.5" style="6" customWidth="1" outlineLevel="1"/>
    <col min="9" max="9" width="18.75" style="6" bestFit="1" customWidth="1"/>
    <col min="10" max="40" width="9" style="6"/>
  </cols>
  <sheetData>
    <row r="1" spans="1:10" ht="38.1" customHeight="1" x14ac:dyDescent="0.55000000000000004">
      <c r="A1" s="7" t="s">
        <v>0</v>
      </c>
      <c r="H1" s="8" t="s">
        <v>1</v>
      </c>
    </row>
    <row r="2" spans="1:10" s="22" customFormat="1" ht="20.100000000000001" customHeight="1" x14ac:dyDescent="0.25">
      <c r="A2" s="9" t="s">
        <v>2</v>
      </c>
      <c r="B2" s="10" t="s">
        <v>3</v>
      </c>
      <c r="C2" s="10" t="s">
        <v>4</v>
      </c>
      <c r="D2" s="10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22" t="s">
        <v>84</v>
      </c>
    </row>
    <row r="3" spans="1:10" s="1" customFormat="1" ht="20.100000000000001" customHeight="1" x14ac:dyDescent="0.25">
      <c r="A3" s="24" t="s">
        <v>10</v>
      </c>
      <c r="B3" s="12" t="s">
        <v>11</v>
      </c>
      <c r="C3" s="13" t="s">
        <v>53</v>
      </c>
      <c r="D3" s="13" t="s">
        <v>12</v>
      </c>
      <c r="E3" s="14"/>
      <c r="F3" s="14"/>
      <c r="G3" s="14"/>
      <c r="H3" s="14">
        <f t="shared" ref="H3:H8" si="0">SUM(E3:G3)</f>
        <v>0</v>
      </c>
      <c r="I3" s="1" t="s">
        <v>85</v>
      </c>
    </row>
    <row r="4" spans="1:10" s="1" customFormat="1" ht="20.100000000000001" customHeight="1" x14ac:dyDescent="0.25">
      <c r="A4" s="24"/>
      <c r="B4" s="15" t="s">
        <v>13</v>
      </c>
      <c r="C4" s="15" t="s">
        <v>54</v>
      </c>
      <c r="D4" s="16" t="s">
        <v>14</v>
      </c>
      <c r="E4" s="17"/>
      <c r="F4" s="17"/>
      <c r="G4" s="17"/>
      <c r="H4" s="17">
        <f t="shared" si="0"/>
        <v>0</v>
      </c>
      <c r="I4" s="1" t="s">
        <v>86</v>
      </c>
    </row>
    <row r="5" spans="1:10" s="1" customFormat="1" ht="20.100000000000001" customHeight="1" x14ac:dyDescent="0.25">
      <c r="A5" s="24"/>
      <c r="B5" s="15" t="s">
        <v>15</v>
      </c>
      <c r="C5" s="15" t="s">
        <v>55</v>
      </c>
      <c r="D5" s="16" t="s">
        <v>14</v>
      </c>
      <c r="E5" s="17"/>
      <c r="F5" s="17"/>
      <c r="G5" s="17"/>
      <c r="H5" s="17">
        <f t="shared" si="0"/>
        <v>0</v>
      </c>
      <c r="I5" s="1" t="s">
        <v>86</v>
      </c>
    </row>
    <row r="6" spans="1:10" s="2" customFormat="1" ht="20.100000000000001" customHeight="1" x14ac:dyDescent="0.25">
      <c r="A6" s="24"/>
      <c r="B6" s="15" t="s">
        <v>16</v>
      </c>
      <c r="C6" s="15" t="s">
        <v>56</v>
      </c>
      <c r="D6" s="16" t="s">
        <v>17</v>
      </c>
      <c r="E6" s="17"/>
      <c r="F6" s="17"/>
      <c r="G6" s="17"/>
      <c r="H6" s="17">
        <f t="shared" si="0"/>
        <v>0</v>
      </c>
      <c r="I6" s="1" t="s">
        <v>87</v>
      </c>
      <c r="J6" s="1"/>
    </row>
    <row r="7" spans="1:10" s="2" customFormat="1" ht="20.100000000000001" customHeight="1" x14ac:dyDescent="0.25">
      <c r="A7" s="24"/>
      <c r="B7" s="15" t="s">
        <v>18</v>
      </c>
      <c r="C7" s="15" t="s">
        <v>57</v>
      </c>
      <c r="D7" s="16" t="s">
        <v>14</v>
      </c>
      <c r="E7" s="17"/>
      <c r="F7" s="17"/>
      <c r="G7" s="17"/>
      <c r="H7" s="17">
        <f t="shared" si="0"/>
        <v>0</v>
      </c>
      <c r="I7" s="1" t="s">
        <v>86</v>
      </c>
      <c r="J7" s="1"/>
    </row>
    <row r="8" spans="1:10" s="1" customFormat="1" ht="20.100000000000001" customHeight="1" x14ac:dyDescent="0.25">
      <c r="A8" s="24"/>
      <c r="B8" s="15" t="s">
        <v>19</v>
      </c>
      <c r="C8" s="15" t="s">
        <v>58</v>
      </c>
      <c r="D8" s="16" t="s">
        <v>14</v>
      </c>
      <c r="E8" s="17"/>
      <c r="F8" s="17"/>
      <c r="G8" s="17"/>
      <c r="H8" s="17">
        <f t="shared" si="0"/>
        <v>0</v>
      </c>
      <c r="I8" s="1" t="s">
        <v>86</v>
      </c>
    </row>
    <row r="9" spans="1:10" s="1" customFormat="1" ht="20.100000000000001" customHeight="1" x14ac:dyDescent="0.25">
      <c r="A9" s="24"/>
      <c r="B9" s="25" t="s">
        <v>20</v>
      </c>
      <c r="C9" s="25"/>
      <c r="D9" s="25"/>
      <c r="E9" s="18">
        <f>SUBTOTAL(9,E4:E8)</f>
        <v>0</v>
      </c>
      <c r="F9" s="18">
        <f>SUBTOTAL(9,F4:F8)</f>
        <v>0</v>
      </c>
      <c r="G9" s="18">
        <f>SUBTOTAL(9,G4:G8)</f>
        <v>0</v>
      </c>
      <c r="H9" s="18">
        <f>SUBTOTAL(9,H4:H8)</f>
        <v>0</v>
      </c>
    </row>
    <row r="10" spans="1:10" s="22" customFormat="1" ht="20.100000000000001" customHeight="1" x14ac:dyDescent="0.25">
      <c r="A10" s="9" t="s">
        <v>2</v>
      </c>
      <c r="B10" s="10" t="s">
        <v>3</v>
      </c>
      <c r="C10" s="10" t="s">
        <v>4</v>
      </c>
      <c r="D10" s="10" t="s">
        <v>5</v>
      </c>
      <c r="E10" s="11" t="s">
        <v>6</v>
      </c>
      <c r="F10" s="11" t="s">
        <v>7</v>
      </c>
      <c r="G10" s="11" t="s">
        <v>8</v>
      </c>
      <c r="H10" s="11" t="s">
        <v>9</v>
      </c>
      <c r="I10" s="1"/>
      <c r="J10" s="1"/>
    </row>
    <row r="11" spans="1:10" s="1" customFormat="1" ht="20.100000000000001" customHeight="1" x14ac:dyDescent="0.25">
      <c r="A11" s="24" t="s">
        <v>21</v>
      </c>
      <c r="B11" s="19" t="s">
        <v>22</v>
      </c>
      <c r="C11" s="20" t="s">
        <v>59</v>
      </c>
      <c r="D11" s="13" t="s">
        <v>12</v>
      </c>
      <c r="E11" s="14"/>
      <c r="F11" s="14"/>
      <c r="G11" s="14"/>
      <c r="H11" s="14">
        <f>SUM(E11:G11)</f>
        <v>0</v>
      </c>
      <c r="I11" s="1" t="s">
        <v>85</v>
      </c>
    </row>
    <row r="12" spans="1:10" s="1" customFormat="1" ht="20.100000000000001" customHeight="1" x14ac:dyDescent="0.25">
      <c r="A12" s="24"/>
      <c r="B12" s="15" t="s">
        <v>23</v>
      </c>
      <c r="C12" s="15" t="s">
        <v>60</v>
      </c>
      <c r="D12" s="16" t="s">
        <v>24</v>
      </c>
      <c r="E12" s="17"/>
      <c r="F12" s="17"/>
      <c r="G12" s="17"/>
      <c r="H12" s="17">
        <f>SUM(E12:G12)</f>
        <v>0</v>
      </c>
      <c r="I12" s="23" t="s">
        <v>88</v>
      </c>
    </row>
    <row r="13" spans="1:10" s="1" customFormat="1" ht="20.100000000000001" customHeight="1" x14ac:dyDescent="0.25">
      <c r="A13" s="24"/>
      <c r="B13" s="15" t="s">
        <v>25</v>
      </c>
      <c r="C13" s="15" t="s">
        <v>61</v>
      </c>
      <c r="D13" s="16" t="s">
        <v>24</v>
      </c>
      <c r="E13" s="17"/>
      <c r="F13" s="17"/>
      <c r="G13" s="17"/>
      <c r="H13" s="17">
        <f>SUM(E13:G13)</f>
        <v>0</v>
      </c>
      <c r="I13" s="23" t="s">
        <v>88</v>
      </c>
    </row>
    <row r="14" spans="1:10" ht="20.100000000000001" customHeight="1" x14ac:dyDescent="0.15">
      <c r="A14" s="24"/>
      <c r="B14" s="25" t="s">
        <v>20</v>
      </c>
      <c r="C14" s="25"/>
      <c r="D14" s="25"/>
      <c r="E14" s="18">
        <f>SUBTOTAL(9,E12:E13)</f>
        <v>0</v>
      </c>
      <c r="F14" s="18">
        <f>SUBTOTAL(9,F12:F13)</f>
        <v>0</v>
      </c>
      <c r="G14" s="18">
        <f>SUBTOTAL(9,G12:G13)</f>
        <v>0</v>
      </c>
      <c r="H14" s="18">
        <f>SUBTOTAL(9,H12:H13)</f>
        <v>0</v>
      </c>
      <c r="I14" s="1"/>
      <c r="J14" s="1"/>
    </row>
    <row r="15" spans="1:10" s="22" customFormat="1" ht="20.100000000000001" customHeight="1" x14ac:dyDescent="0.25">
      <c r="A15" s="9" t="s">
        <v>2</v>
      </c>
      <c r="B15" s="10" t="s">
        <v>3</v>
      </c>
      <c r="C15" s="10" t="s">
        <v>4</v>
      </c>
      <c r="D15" s="10" t="s">
        <v>5</v>
      </c>
      <c r="E15" s="11" t="s">
        <v>6</v>
      </c>
      <c r="F15" s="11" t="s">
        <v>7</v>
      </c>
      <c r="G15" s="11" t="s">
        <v>8</v>
      </c>
      <c r="H15" s="11" t="s">
        <v>9</v>
      </c>
      <c r="I15" s="1"/>
      <c r="J15" s="1"/>
    </row>
    <row r="16" spans="1:10" s="1" customFormat="1" ht="20.100000000000001" customHeight="1" x14ac:dyDescent="0.25">
      <c r="A16" s="24" t="s">
        <v>26</v>
      </c>
      <c r="B16" s="19" t="s">
        <v>27</v>
      </c>
      <c r="C16" s="20" t="s">
        <v>62</v>
      </c>
      <c r="D16" s="13" t="s">
        <v>24</v>
      </c>
      <c r="E16" s="14"/>
      <c r="F16" s="14"/>
      <c r="G16" s="14"/>
      <c r="H16" s="14">
        <f>SUM(E16:G16)</f>
        <v>0</v>
      </c>
      <c r="I16" s="1" t="s">
        <v>86</v>
      </c>
    </row>
    <row r="17" spans="1:13" s="1" customFormat="1" ht="20.100000000000001" customHeight="1" x14ac:dyDescent="0.25">
      <c r="A17" s="24"/>
      <c r="B17" s="15" t="s">
        <v>28</v>
      </c>
      <c r="C17" s="15" t="s">
        <v>63</v>
      </c>
      <c r="D17" s="16" t="s">
        <v>29</v>
      </c>
      <c r="E17" s="17"/>
      <c r="F17" s="17"/>
      <c r="G17" s="17"/>
      <c r="H17" s="17">
        <f>SUM(E17:G17)</f>
        <v>0</v>
      </c>
      <c r="I17" s="1" t="s">
        <v>89</v>
      </c>
    </row>
    <row r="18" spans="1:13" s="3" customFormat="1" ht="20.100000000000001" customHeight="1" x14ac:dyDescent="0.25">
      <c r="A18" s="24"/>
      <c r="B18" s="25" t="s">
        <v>20</v>
      </c>
      <c r="C18" s="25"/>
      <c r="D18" s="25"/>
      <c r="E18" s="18">
        <f>SUBTOTAL(9,E17:E17)</f>
        <v>0</v>
      </c>
      <c r="F18" s="18">
        <f>SUBTOTAL(9,F17:F17)</f>
        <v>0</v>
      </c>
      <c r="G18" s="18">
        <f>SUBTOTAL(9,G17:G17)</f>
        <v>0</v>
      </c>
      <c r="H18" s="18">
        <f>SUBTOTAL(9,H17:H17)</f>
        <v>0</v>
      </c>
      <c r="I18" s="1"/>
      <c r="J18" s="1"/>
    </row>
    <row r="19" spans="1:13" s="22" customFormat="1" ht="20.100000000000001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1" t="s">
        <v>6</v>
      </c>
      <c r="F19" s="11" t="s">
        <v>7</v>
      </c>
      <c r="G19" s="11" t="s">
        <v>8</v>
      </c>
      <c r="H19" s="11" t="s">
        <v>9</v>
      </c>
      <c r="I19" s="1"/>
      <c r="J19" s="1"/>
    </row>
    <row r="20" spans="1:13" s="1" customFormat="1" ht="20.100000000000001" customHeight="1" x14ac:dyDescent="0.25">
      <c r="A20" s="24" t="s">
        <v>30</v>
      </c>
      <c r="B20" s="20" t="s">
        <v>31</v>
      </c>
      <c r="C20" s="20" t="s">
        <v>64</v>
      </c>
      <c r="D20" s="13" t="s">
        <v>12</v>
      </c>
      <c r="E20" s="14"/>
      <c r="F20" s="14"/>
      <c r="G20" s="14"/>
      <c r="H20" s="14">
        <f t="shared" ref="H20:H26" si="1">SUM(E20:G20)</f>
        <v>0</v>
      </c>
      <c r="I20" s="1" t="s">
        <v>90</v>
      </c>
    </row>
    <row r="21" spans="1:13" s="1" customFormat="1" ht="20.100000000000001" customHeight="1" x14ac:dyDescent="0.25">
      <c r="A21" s="24"/>
      <c r="B21" s="15" t="s">
        <v>32</v>
      </c>
      <c r="C21" s="15" t="s">
        <v>65</v>
      </c>
      <c r="D21" s="16" t="s">
        <v>33</v>
      </c>
      <c r="E21" s="17"/>
      <c r="F21" s="17"/>
      <c r="G21" s="17"/>
      <c r="H21" s="17">
        <f t="shared" si="1"/>
        <v>0</v>
      </c>
      <c r="I21" s="1" t="s">
        <v>90</v>
      </c>
    </row>
    <row r="22" spans="1:13" s="1" customFormat="1" ht="20.100000000000001" customHeight="1" x14ac:dyDescent="0.25">
      <c r="A22" s="24"/>
      <c r="B22" s="15" t="s">
        <v>32</v>
      </c>
      <c r="C22" s="15" t="s">
        <v>66</v>
      </c>
      <c r="D22" s="16" t="s">
        <v>33</v>
      </c>
      <c r="E22" s="17"/>
      <c r="F22" s="17"/>
      <c r="G22" s="17"/>
      <c r="H22" s="17">
        <f t="shared" si="1"/>
        <v>0</v>
      </c>
      <c r="I22" s="1" t="s">
        <v>90</v>
      </c>
    </row>
    <row r="23" spans="1:13" s="1" customFormat="1" ht="20.100000000000001" customHeight="1" x14ac:dyDescent="0.25">
      <c r="A23" s="24"/>
      <c r="B23" s="15" t="s">
        <v>34</v>
      </c>
      <c r="C23" s="15" t="s">
        <v>67</v>
      </c>
      <c r="D23" s="16" t="s">
        <v>35</v>
      </c>
      <c r="E23" s="17"/>
      <c r="F23" s="17"/>
      <c r="G23" s="17"/>
      <c r="H23" s="17">
        <f t="shared" si="1"/>
        <v>0</v>
      </c>
      <c r="I23" s="1" t="s">
        <v>91</v>
      </c>
    </row>
    <row r="24" spans="1:13" s="1" customFormat="1" ht="20.100000000000001" customHeight="1" x14ac:dyDescent="0.25">
      <c r="A24" s="24"/>
      <c r="B24" s="15" t="s">
        <v>34</v>
      </c>
      <c r="C24" s="15" t="s">
        <v>68</v>
      </c>
      <c r="D24" s="16" t="s">
        <v>33</v>
      </c>
      <c r="E24" s="17"/>
      <c r="F24" s="17"/>
      <c r="G24" s="17"/>
      <c r="H24" s="17">
        <f t="shared" si="1"/>
        <v>0</v>
      </c>
      <c r="I24" s="1" t="s">
        <v>90</v>
      </c>
    </row>
    <row r="25" spans="1:13" s="1" customFormat="1" ht="20.100000000000001" customHeight="1" x14ac:dyDescent="0.25">
      <c r="A25" s="24"/>
      <c r="B25" s="15" t="s">
        <v>36</v>
      </c>
      <c r="C25" s="15" t="s">
        <v>69</v>
      </c>
      <c r="D25" s="16" t="s">
        <v>33</v>
      </c>
      <c r="E25" s="17"/>
      <c r="F25" s="17"/>
      <c r="G25" s="17"/>
      <c r="H25" s="17">
        <f t="shared" si="1"/>
        <v>0</v>
      </c>
      <c r="I25" s="1" t="s">
        <v>90</v>
      </c>
    </row>
    <row r="26" spans="1:13" s="1" customFormat="1" ht="20.100000000000001" customHeight="1" x14ac:dyDescent="0.25">
      <c r="A26" s="24"/>
      <c r="B26" s="15" t="s">
        <v>36</v>
      </c>
      <c r="C26" s="15" t="s">
        <v>70</v>
      </c>
      <c r="D26" s="16" t="s">
        <v>33</v>
      </c>
      <c r="E26" s="17"/>
      <c r="F26" s="17"/>
      <c r="G26" s="17"/>
      <c r="H26" s="17">
        <f t="shared" si="1"/>
        <v>0</v>
      </c>
      <c r="I26" s="1" t="s">
        <v>90</v>
      </c>
    </row>
    <row r="27" spans="1:13" s="1" customFormat="1" ht="20.100000000000001" customHeight="1" x14ac:dyDescent="0.25">
      <c r="A27" s="24"/>
      <c r="B27" s="25" t="s">
        <v>20</v>
      </c>
      <c r="C27" s="25"/>
      <c r="D27" s="25"/>
      <c r="E27" s="18">
        <f>SUBTOTAL(9,E21:E26)</f>
        <v>0</v>
      </c>
      <c r="F27" s="18">
        <f>SUBTOTAL(9,F21:F26)</f>
        <v>0</v>
      </c>
      <c r="G27" s="18">
        <f>SUBTOTAL(9,G21:G26)</f>
        <v>0</v>
      </c>
      <c r="H27" s="18">
        <f>SUBTOTAL(9,H21:H26)</f>
        <v>0</v>
      </c>
    </row>
    <row r="28" spans="1:13" s="22" customFormat="1" ht="20.100000000000001" customHeight="1" x14ac:dyDescent="0.25">
      <c r="A28" s="9" t="s">
        <v>2</v>
      </c>
      <c r="B28" s="10" t="s">
        <v>3</v>
      </c>
      <c r="C28" s="10" t="s">
        <v>4</v>
      </c>
      <c r="D28" s="10" t="s">
        <v>5</v>
      </c>
      <c r="E28" s="11" t="s">
        <v>6</v>
      </c>
      <c r="F28" s="11" t="s">
        <v>7</v>
      </c>
      <c r="G28" s="11" t="s">
        <v>8</v>
      </c>
      <c r="H28" s="11" t="s">
        <v>9</v>
      </c>
      <c r="I28" s="1"/>
      <c r="J28" s="1"/>
      <c r="K28" s="1"/>
      <c r="L28" s="1"/>
      <c r="M28" s="1"/>
    </row>
    <row r="29" spans="1:13" s="1" customFormat="1" ht="20.100000000000001" customHeight="1" x14ac:dyDescent="0.25">
      <c r="A29" s="30" t="s">
        <v>37</v>
      </c>
      <c r="B29" s="20" t="s">
        <v>38</v>
      </c>
      <c r="C29" s="20" t="s">
        <v>71</v>
      </c>
      <c r="D29" s="13" t="s">
        <v>12</v>
      </c>
      <c r="E29" s="14"/>
      <c r="F29" s="14"/>
      <c r="G29" s="14"/>
      <c r="H29" s="14">
        <f>SUM(E29:G29)</f>
        <v>0</v>
      </c>
      <c r="I29" s="1" t="s">
        <v>85</v>
      </c>
      <c r="K29" s="22"/>
      <c r="L29" s="22"/>
      <c r="M29" s="22"/>
    </row>
    <row r="30" spans="1:13" s="1" customFormat="1" ht="20.100000000000001" customHeight="1" x14ac:dyDescent="0.25">
      <c r="A30" s="31"/>
      <c r="B30" s="15" t="s">
        <v>39</v>
      </c>
      <c r="C30" s="15" t="s">
        <v>72</v>
      </c>
      <c r="D30" s="16" t="s">
        <v>33</v>
      </c>
      <c r="E30" s="17"/>
      <c r="F30" s="17"/>
      <c r="G30" s="17"/>
      <c r="H30" s="17">
        <f>SUM(E30:G30)</f>
        <v>0</v>
      </c>
      <c r="I30" s="1" t="s">
        <v>92</v>
      </c>
    </row>
    <row r="31" spans="1:13" s="1" customFormat="1" ht="20.100000000000001" customHeight="1" x14ac:dyDescent="0.25">
      <c r="A31" s="32"/>
      <c r="B31" s="15" t="s">
        <v>39</v>
      </c>
      <c r="C31" s="15" t="s">
        <v>73</v>
      </c>
      <c r="D31" s="16" t="s">
        <v>33</v>
      </c>
      <c r="E31" s="17"/>
      <c r="F31" s="17"/>
      <c r="G31" s="17"/>
      <c r="H31" s="17">
        <f>SUM(E31:G31)</f>
        <v>0</v>
      </c>
      <c r="I31" s="1" t="s">
        <v>92</v>
      </c>
    </row>
    <row r="32" spans="1:13" s="1" customFormat="1" ht="20.100000000000001" customHeight="1" x14ac:dyDescent="0.25">
      <c r="A32" s="33"/>
      <c r="B32" s="25" t="s">
        <v>20</v>
      </c>
      <c r="C32" s="25"/>
      <c r="D32" s="25"/>
      <c r="E32" s="18">
        <f>SUBTOTAL(9,E30:E31)</f>
        <v>0</v>
      </c>
      <c r="F32" s="18">
        <f>SUBTOTAL(9,F30:F31)</f>
        <v>0</v>
      </c>
      <c r="G32" s="18">
        <f>SUBTOTAL(9,G30:G31)</f>
        <v>0</v>
      </c>
      <c r="H32" s="18">
        <f>SUBTOTAL(9,H30:H31)</f>
        <v>0</v>
      </c>
    </row>
    <row r="33" spans="1:13" s="22" customFormat="1" ht="20.100000000000001" customHeight="1" x14ac:dyDescent="0.25">
      <c r="A33" s="9" t="s">
        <v>2</v>
      </c>
      <c r="B33" s="10" t="s">
        <v>3</v>
      </c>
      <c r="C33" s="10" t="s">
        <v>4</v>
      </c>
      <c r="D33" s="10" t="s">
        <v>5</v>
      </c>
      <c r="E33" s="11" t="s">
        <v>6</v>
      </c>
      <c r="F33" s="11" t="s">
        <v>7</v>
      </c>
      <c r="G33" s="11" t="s">
        <v>8</v>
      </c>
      <c r="H33" s="11" t="s">
        <v>9</v>
      </c>
      <c r="I33" s="1"/>
      <c r="J33" s="1"/>
      <c r="K33" s="1"/>
      <c r="L33" s="1"/>
      <c r="M33" s="1"/>
    </row>
    <row r="34" spans="1:13" s="1" customFormat="1" ht="20.100000000000001" customHeight="1" x14ac:dyDescent="0.25">
      <c r="A34" s="24" t="s">
        <v>40</v>
      </c>
      <c r="B34" s="20" t="s">
        <v>41</v>
      </c>
      <c r="C34" s="20" t="s">
        <v>74</v>
      </c>
      <c r="D34" s="13" t="s">
        <v>12</v>
      </c>
      <c r="E34" s="14"/>
      <c r="F34" s="14"/>
      <c r="G34" s="14"/>
      <c r="H34" s="14">
        <f t="shared" ref="H34:H39" si="2">SUM(E34:G34)</f>
        <v>0</v>
      </c>
      <c r="I34" s="1" t="s">
        <v>93</v>
      </c>
      <c r="K34" s="22"/>
      <c r="L34" s="22"/>
      <c r="M34" s="22"/>
    </row>
    <row r="35" spans="1:13" s="1" customFormat="1" ht="20.100000000000001" customHeight="1" x14ac:dyDescent="0.25">
      <c r="A35" s="24"/>
      <c r="B35" s="26" t="s">
        <v>42</v>
      </c>
      <c r="C35" s="28" t="s">
        <v>75</v>
      </c>
      <c r="D35" s="16" t="s">
        <v>43</v>
      </c>
      <c r="E35" s="17"/>
      <c r="F35" s="17"/>
      <c r="G35" s="17"/>
      <c r="H35" s="17">
        <f t="shared" si="2"/>
        <v>0</v>
      </c>
      <c r="I35" s="1" t="s">
        <v>94</v>
      </c>
    </row>
    <row r="36" spans="1:13" s="1" customFormat="1" ht="20.100000000000001" customHeight="1" x14ac:dyDescent="0.25">
      <c r="A36" s="24"/>
      <c r="B36" s="27"/>
      <c r="C36" s="29"/>
      <c r="D36" s="16" t="s">
        <v>44</v>
      </c>
      <c r="E36" s="17"/>
      <c r="F36" s="17"/>
      <c r="G36" s="17"/>
      <c r="H36" s="17">
        <f t="shared" si="2"/>
        <v>0</v>
      </c>
      <c r="I36" s="1" t="s">
        <v>95</v>
      </c>
    </row>
    <row r="37" spans="1:13" s="1" customFormat="1" ht="20.100000000000001" customHeight="1" x14ac:dyDescent="0.25">
      <c r="A37" s="24"/>
      <c r="B37" s="26" t="s">
        <v>42</v>
      </c>
      <c r="C37" s="28" t="s">
        <v>76</v>
      </c>
      <c r="D37" s="16" t="s">
        <v>43</v>
      </c>
      <c r="E37" s="17"/>
      <c r="F37" s="17"/>
      <c r="G37" s="17"/>
      <c r="H37" s="17">
        <f t="shared" si="2"/>
        <v>0</v>
      </c>
      <c r="I37" s="1" t="s">
        <v>94</v>
      </c>
    </row>
    <row r="38" spans="1:13" s="1" customFormat="1" ht="20.100000000000001" customHeight="1" x14ac:dyDescent="0.25">
      <c r="A38" s="24"/>
      <c r="B38" s="27"/>
      <c r="C38" s="29"/>
      <c r="D38" s="16" t="s">
        <v>44</v>
      </c>
      <c r="E38" s="17"/>
      <c r="F38" s="17"/>
      <c r="G38" s="17"/>
      <c r="H38" s="17">
        <f t="shared" si="2"/>
        <v>0</v>
      </c>
      <c r="I38" s="1" t="s">
        <v>95</v>
      </c>
    </row>
    <row r="39" spans="1:13" s="1" customFormat="1" ht="20.100000000000001" customHeight="1" x14ac:dyDescent="0.25">
      <c r="A39" s="24"/>
      <c r="B39" s="15" t="s">
        <v>45</v>
      </c>
      <c r="C39" s="15" t="s">
        <v>77</v>
      </c>
      <c r="D39" s="16" t="s">
        <v>33</v>
      </c>
      <c r="E39" s="17"/>
      <c r="F39" s="17"/>
      <c r="G39" s="17"/>
      <c r="H39" s="17">
        <f t="shared" si="2"/>
        <v>0</v>
      </c>
      <c r="I39" s="1" t="s">
        <v>96</v>
      </c>
    </row>
    <row r="40" spans="1:13" s="1" customFormat="1" ht="20.100000000000001" customHeight="1" x14ac:dyDescent="0.25">
      <c r="A40" s="24"/>
      <c r="B40" s="25" t="s">
        <v>20</v>
      </c>
      <c r="C40" s="25"/>
      <c r="D40" s="25"/>
      <c r="E40" s="18">
        <f>SUBTOTAL(9,E35:E39)</f>
        <v>0</v>
      </c>
      <c r="F40" s="18">
        <f>SUBTOTAL(9,F35:F39)</f>
        <v>0</v>
      </c>
      <c r="G40" s="18">
        <f>SUBTOTAL(9,G35:G39)</f>
        <v>0</v>
      </c>
      <c r="H40" s="18">
        <f>SUBTOTAL(9,H35:H39)</f>
        <v>0</v>
      </c>
    </row>
    <row r="41" spans="1:13" s="22" customFormat="1" ht="20.100000000000001" customHeight="1" x14ac:dyDescent="0.25">
      <c r="A41" s="9" t="s">
        <v>2</v>
      </c>
      <c r="B41" s="10" t="s">
        <v>3</v>
      </c>
      <c r="C41" s="10" t="s">
        <v>4</v>
      </c>
      <c r="D41" s="10" t="s">
        <v>5</v>
      </c>
      <c r="E41" s="11" t="s">
        <v>6</v>
      </c>
      <c r="F41" s="11" t="s">
        <v>7</v>
      </c>
      <c r="G41" s="11" t="s">
        <v>8</v>
      </c>
      <c r="H41" s="11" t="s">
        <v>9</v>
      </c>
      <c r="I41" s="1"/>
      <c r="J41" s="1"/>
      <c r="K41" s="1"/>
      <c r="L41" s="1"/>
      <c r="M41" s="1"/>
    </row>
    <row r="42" spans="1:13" s="1" customFormat="1" ht="20.100000000000001" customHeight="1" x14ac:dyDescent="0.25">
      <c r="A42" s="24" t="s">
        <v>46</v>
      </c>
      <c r="B42" s="20" t="s">
        <v>47</v>
      </c>
      <c r="C42" s="20" t="s">
        <v>78</v>
      </c>
      <c r="D42" s="13" t="s">
        <v>12</v>
      </c>
      <c r="E42" s="14"/>
      <c r="F42" s="14"/>
      <c r="G42" s="14"/>
      <c r="H42" s="14">
        <f>SUM(E42:G42)</f>
        <v>0</v>
      </c>
      <c r="I42" s="1" t="s">
        <v>93</v>
      </c>
      <c r="M42" s="22"/>
    </row>
    <row r="43" spans="1:13" s="1" customFormat="1" ht="20.100000000000001" customHeight="1" x14ac:dyDescent="0.25">
      <c r="A43" s="24"/>
      <c r="B43" s="15" t="s">
        <v>48</v>
      </c>
      <c r="C43" s="15" t="s">
        <v>79</v>
      </c>
      <c r="D43" s="16" t="s">
        <v>33</v>
      </c>
      <c r="E43" s="17"/>
      <c r="F43" s="17"/>
      <c r="G43" s="17"/>
      <c r="H43" s="17">
        <f>SUM(E43:G43)</f>
        <v>0</v>
      </c>
      <c r="I43" s="1" t="s">
        <v>96</v>
      </c>
      <c r="K43" s="22"/>
      <c r="L43" s="22"/>
    </row>
    <row r="44" spans="1:13" s="1" customFormat="1" ht="20.100000000000001" customHeight="1" x14ac:dyDescent="0.25">
      <c r="A44" s="24"/>
      <c r="B44" s="15" t="s">
        <v>48</v>
      </c>
      <c r="C44" s="15" t="s">
        <v>80</v>
      </c>
      <c r="D44" s="16" t="s">
        <v>33</v>
      </c>
      <c r="E44" s="17"/>
      <c r="F44" s="17"/>
      <c r="G44" s="17"/>
      <c r="H44" s="17">
        <f>SUM(E44:G44)</f>
        <v>0</v>
      </c>
      <c r="I44" s="1" t="s">
        <v>96</v>
      </c>
    </row>
    <row r="45" spans="1:13" s="1" customFormat="1" ht="20.100000000000001" customHeight="1" x14ac:dyDescent="0.25">
      <c r="A45" s="24"/>
      <c r="B45" s="15" t="s">
        <v>48</v>
      </c>
      <c r="C45" s="15" t="s">
        <v>81</v>
      </c>
      <c r="D45" s="16" t="s">
        <v>33</v>
      </c>
      <c r="E45" s="17"/>
      <c r="F45" s="17"/>
      <c r="G45" s="17"/>
      <c r="H45" s="17">
        <f>SUM(E45:G45)</f>
        <v>0</v>
      </c>
      <c r="I45" s="1" t="s">
        <v>96</v>
      </c>
    </row>
    <row r="46" spans="1:13" s="1" customFormat="1" ht="20.100000000000001" customHeight="1" x14ac:dyDescent="0.25">
      <c r="A46" s="24"/>
      <c r="B46" s="25" t="s">
        <v>20</v>
      </c>
      <c r="C46" s="25"/>
      <c r="D46" s="25"/>
      <c r="E46" s="18">
        <f>SUBTOTAL(9,E43:E45)</f>
        <v>0</v>
      </c>
      <c r="F46" s="18">
        <f>SUBTOTAL(9,F43:F45)</f>
        <v>0</v>
      </c>
      <c r="G46" s="18">
        <f>SUBTOTAL(9,G43:G45)</f>
        <v>0</v>
      </c>
      <c r="H46" s="18">
        <f>SUBTOTAL(9,H43:H45)</f>
        <v>0</v>
      </c>
    </row>
    <row r="47" spans="1:13" s="22" customFormat="1" ht="20.100000000000001" customHeight="1" x14ac:dyDescent="0.25">
      <c r="A47" s="9" t="s">
        <v>2</v>
      </c>
      <c r="B47" s="10" t="s">
        <v>3</v>
      </c>
      <c r="C47" s="10" t="s">
        <v>4</v>
      </c>
      <c r="D47" s="10" t="s">
        <v>5</v>
      </c>
      <c r="E47" s="11" t="s">
        <v>6</v>
      </c>
      <c r="F47" s="11" t="s">
        <v>7</v>
      </c>
      <c r="G47" s="11" t="s">
        <v>8</v>
      </c>
      <c r="H47" s="11" t="s">
        <v>9</v>
      </c>
      <c r="I47" s="1"/>
      <c r="J47" s="1"/>
      <c r="K47" s="1"/>
      <c r="L47" s="1"/>
      <c r="M47" s="1"/>
    </row>
    <row r="48" spans="1:13" s="1" customFormat="1" ht="20.100000000000001" customHeight="1" x14ac:dyDescent="0.25">
      <c r="A48" s="24" t="s">
        <v>49</v>
      </c>
      <c r="B48" s="20" t="s">
        <v>42</v>
      </c>
      <c r="C48" s="20" t="s">
        <v>82</v>
      </c>
      <c r="D48" s="13" t="s">
        <v>12</v>
      </c>
      <c r="E48" s="14"/>
      <c r="F48" s="14"/>
      <c r="G48" s="14"/>
      <c r="H48" s="14">
        <f>SUM(E48:G48)</f>
        <v>0</v>
      </c>
      <c r="I48" s="1" t="s">
        <v>93</v>
      </c>
      <c r="M48" s="22"/>
    </row>
    <row r="49" spans="1:13" s="1" customFormat="1" ht="20.100000000000001" customHeight="1" x14ac:dyDescent="0.25">
      <c r="A49" s="24"/>
      <c r="B49" s="15" t="s">
        <v>42</v>
      </c>
      <c r="C49" s="15" t="s">
        <v>83</v>
      </c>
      <c r="D49" s="16" t="s">
        <v>33</v>
      </c>
      <c r="E49" s="17"/>
      <c r="F49" s="17"/>
      <c r="G49" s="17"/>
      <c r="H49" s="17">
        <f>SUM(E49:G49)</f>
        <v>0</v>
      </c>
      <c r="I49" s="1" t="s">
        <v>96</v>
      </c>
      <c r="K49" s="22"/>
      <c r="L49" s="22"/>
    </row>
    <row r="50" spans="1:13" s="1" customFormat="1" ht="20.100000000000001" customHeight="1" x14ac:dyDescent="0.25">
      <c r="A50" s="24"/>
      <c r="B50" s="25" t="s">
        <v>20</v>
      </c>
      <c r="C50" s="25"/>
      <c r="D50" s="25"/>
      <c r="E50" s="18">
        <f>SUBTOTAL(9,E49)</f>
        <v>0</v>
      </c>
      <c r="F50" s="18">
        <f>SUBTOTAL(9,F49)</f>
        <v>0</v>
      </c>
      <c r="G50" s="18">
        <f>SUBTOTAL(9,G49)</f>
        <v>0</v>
      </c>
      <c r="H50" s="18">
        <f>SUBTOTAL(9,H49)</f>
        <v>0</v>
      </c>
    </row>
    <row r="51" spans="1:13" ht="20.100000000000001" customHeight="1" x14ac:dyDescent="0.15">
      <c r="G51" s="14" t="s">
        <v>50</v>
      </c>
      <c r="H51" s="14">
        <f>H48+H34+H29+H20+H11+H3+H16+H42</f>
        <v>0</v>
      </c>
      <c r="I51" s="1"/>
      <c r="J51" s="1"/>
      <c r="K51" s="1"/>
      <c r="L51" s="1"/>
      <c r="M51" s="1"/>
    </row>
    <row r="52" spans="1:13" ht="20.100000000000001" customHeight="1" x14ac:dyDescent="0.15">
      <c r="G52" s="14" t="s">
        <v>51</v>
      </c>
      <c r="H52" s="14">
        <f>H9+H14+H18+H27+H32+H40+H50+H46</f>
        <v>0</v>
      </c>
      <c r="I52" s="1"/>
      <c r="J52" s="1"/>
      <c r="K52" s="1"/>
      <c r="L52" s="1"/>
    </row>
    <row r="53" spans="1:13" s="3" customFormat="1" ht="20.100000000000001" customHeight="1" x14ac:dyDescent="0.15">
      <c r="A53" s="5"/>
      <c r="B53" s="6"/>
      <c r="C53" s="6"/>
      <c r="D53" s="6"/>
      <c r="E53" s="6"/>
      <c r="F53" s="6"/>
      <c r="G53" s="21"/>
      <c r="H53" s="21"/>
      <c r="I53" s="1"/>
      <c r="J53" s="1"/>
      <c r="K53" s="6"/>
      <c r="L53" s="6"/>
      <c r="M53" s="6"/>
    </row>
    <row r="54" spans="1:13" s="4" customFormat="1" ht="51.6" customHeight="1" x14ac:dyDescent="0.3">
      <c r="A54" s="34" t="s">
        <v>52</v>
      </c>
      <c r="B54" s="34"/>
      <c r="C54" s="34"/>
      <c r="D54" s="34"/>
      <c r="E54" s="34"/>
      <c r="F54" s="34"/>
      <c r="G54" s="34"/>
      <c r="H54" s="34"/>
      <c r="J54" s="1"/>
      <c r="K54" s="6"/>
      <c r="L54" s="6"/>
      <c r="M54" s="3"/>
    </row>
    <row r="55" spans="1:13" ht="14.45" customHeight="1" x14ac:dyDescent="0.3">
      <c r="J55" s="1"/>
      <c r="K55" s="3"/>
      <c r="L55" s="3"/>
      <c r="M55" s="4"/>
    </row>
    <row r="56" spans="1:13" ht="14.45" customHeight="1" x14ac:dyDescent="0.3">
      <c r="J56" s="4"/>
      <c r="K56" s="4"/>
      <c r="L56" s="4"/>
    </row>
  </sheetData>
  <autoFilter ref="A2:J56" xr:uid="{00000000-0009-0000-0000-000000000000}"/>
  <mergeCells count="21">
    <mergeCell ref="A54:H54"/>
    <mergeCell ref="B50:D50"/>
    <mergeCell ref="B37:B38"/>
    <mergeCell ref="B46:D46"/>
    <mergeCell ref="A42:A46"/>
    <mergeCell ref="A48:A50"/>
    <mergeCell ref="A3:A9"/>
    <mergeCell ref="A11:A14"/>
    <mergeCell ref="B32:D32"/>
    <mergeCell ref="B35:B36"/>
    <mergeCell ref="C35:C36"/>
    <mergeCell ref="A34:A40"/>
    <mergeCell ref="C37:C38"/>
    <mergeCell ref="B14:D14"/>
    <mergeCell ref="B18:D18"/>
    <mergeCell ref="B9:D9"/>
    <mergeCell ref="A16:A18"/>
    <mergeCell ref="A29:A32"/>
    <mergeCell ref="B40:D40"/>
    <mergeCell ref="A20:A27"/>
    <mergeCell ref="B27:D27"/>
  </mergeCells>
  <phoneticPr fontId="1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76C4DDE3-911E-4556-A6AD-C3C0C54BC2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各渠道拆解到岗位</vt:lpstr>
      <vt:lpstr>各渠道拆解到岗位!_FilterDatabase</vt:lpstr>
      <vt:lpstr>各渠道拆解到岗位!Print_Area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pd</cp:lastModifiedBy>
  <dcterms:created xsi:type="dcterms:W3CDTF">2006-09-16T00:00:00Z</dcterms:created>
  <dcterms:modified xsi:type="dcterms:W3CDTF">2026-07-24T08:16:03Z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{76C4DDE3-911E-4556-A6AD-C3C0C54BC2F8}</vt:lpwstr>
  </property>
</Properties>
</file>